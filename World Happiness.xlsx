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5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6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7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8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Ex9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baef0dbabbf3d2/Documents/career/excel/projects/dashboards/World Happiness/"/>
    </mc:Choice>
  </mc:AlternateContent>
  <xr:revisionPtr revIDLastSave="1365" documentId="8_{7BBB5F92-5153-4164-93A4-68C8D14489FE}" xr6:coauthVersionLast="47" xr6:coauthVersionMax="47" xr10:uidLastSave="{27AE8A96-AEE3-485C-8B29-46EDD39A5338}"/>
  <bookViews>
    <workbookView xWindow="-110" yWindow="-110" windowWidth="19420" windowHeight="11020" firstSheet="3" activeTab="8" xr2:uid="{ADBE65F8-BF51-4ADA-AEB6-C4B34CE56A8D}"/>
  </bookViews>
  <sheets>
    <sheet name="dataset notes" sheetId="3" r:id="rId1"/>
    <sheet name="2015_orig" sheetId="1" r:id="rId2"/>
    <sheet name="2016_orig" sheetId="6" r:id="rId3"/>
    <sheet name="2017_orig" sheetId="7" r:id="rId4"/>
    <sheet name="2018_orig" sheetId="8" r:id="rId5"/>
    <sheet name="2019_orig" sheetId="9" r:id="rId6"/>
    <sheet name="all_data_new" sheetId="10" r:id="rId7"/>
    <sheet name="analysis" sheetId="4" r:id="rId8"/>
    <sheet name="Dashboard" sheetId="5" r:id="rId9"/>
  </sheets>
  <definedNames>
    <definedName name="_xlchart.v1.0" hidden="1">all_data_new!$N$4:$N$785</definedName>
    <definedName name="_xlchart.v1.1" hidden="1">all_data_new!$P$4:$P$785</definedName>
    <definedName name="_xlchart.v1.2" hidden="1">all_data_new!$O$4:$O$785</definedName>
    <definedName name="_xlchart.v1.3" hidden="1">all_data_new!$L$474:$L$785</definedName>
    <definedName name="_xlchart.v1.4" hidden="1">all_data_new!$L$4:$L$473</definedName>
    <definedName name="_xlchart.v1.5" hidden="1">all_data_new!$K$4:$K$473</definedName>
    <definedName name="_xlchart.v1.6" hidden="1">all_data_new!$F$4:$F$785</definedName>
    <definedName name="_xlchart.v1.7" hidden="1">all_data_new!$M$4:$M$785</definedName>
    <definedName name="_xlchart.v1.8" hidden="1">all_data_new!$J$4:$J$785</definedName>
    <definedName name="_xlchart.v1.9" hidden="1">all_data_new!$F$4:$F$785</definedName>
  </definedNames>
  <calcPr calcId="191029"/>
  <pivotCaches>
    <pivotCache cacheId="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43" i="4" l="1"/>
  <c r="G7" i="4"/>
  <c r="G6" i="4"/>
</calcChain>
</file>

<file path=xl/sharedStrings.xml><?xml version="1.0" encoding="utf-8"?>
<sst xmlns="http://schemas.openxmlformats.org/spreadsheetml/2006/main" count="3097" uniqueCount="336">
  <si>
    <t>Country</t>
  </si>
  <si>
    <t>Region</t>
  </si>
  <si>
    <t>Happiness Rank</t>
  </si>
  <si>
    <t>Happiness Score</t>
  </si>
  <si>
    <t>Standard Error</t>
  </si>
  <si>
    <t>Economy (GDP per Capita)</t>
  </si>
  <si>
    <t>Family</t>
  </si>
  <si>
    <t>Health (Life Expectancy)</t>
  </si>
  <si>
    <t>Freedom</t>
  </si>
  <si>
    <t>Trust (Government Corruption)</t>
  </si>
  <si>
    <t>Generosity</t>
  </si>
  <si>
    <t>Dystopia Residual</t>
  </si>
  <si>
    <t>Switzerland</t>
  </si>
  <si>
    <t>Western Europe</t>
  </si>
  <si>
    <t>Iceland</t>
  </si>
  <si>
    <t>Denmark</t>
  </si>
  <si>
    <t>Norway</t>
  </si>
  <si>
    <t>Canada</t>
  </si>
  <si>
    <t>North America</t>
  </si>
  <si>
    <t>Finland</t>
  </si>
  <si>
    <t>Netherlands</t>
  </si>
  <si>
    <t>Sweden</t>
  </si>
  <si>
    <t>New Zealand</t>
  </si>
  <si>
    <t>Australia and New Zealand</t>
  </si>
  <si>
    <t>Australia</t>
  </si>
  <si>
    <t>Israel</t>
  </si>
  <si>
    <t>Middle East and Northern Africa</t>
  </si>
  <si>
    <t>Costa Rica</t>
  </si>
  <si>
    <t>Latin America and Caribbean</t>
  </si>
  <si>
    <t>Austria</t>
  </si>
  <si>
    <t>Mexico</t>
  </si>
  <si>
    <t>United States</t>
  </si>
  <si>
    <t>Brazil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</si>
  <si>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</si>
  <si>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</si>
  <si>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</si>
  <si>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</si>
  <si>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</si>
  <si>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</si>
  <si>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</si>
  <si>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</si>
  <si>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Southeastern Asia</t>
  </si>
  <si>
    <t>Panama</t>
  </si>
  <si>
    <t>Germany</t>
  </si>
  <si>
    <t>Chile</t>
  </si>
  <si>
    <t>Qatar</t>
  </si>
  <si>
    <t>France</t>
  </si>
  <si>
    <t>Argentina</t>
  </si>
  <si>
    <t>Czech Republic</t>
  </si>
  <si>
    <t>Central and Eastern Europe</t>
  </si>
  <si>
    <t>Uruguay</t>
  </si>
  <si>
    <t>Colombia</t>
  </si>
  <si>
    <t>Thailand</t>
  </si>
  <si>
    <t>Saudi Arabia</t>
  </si>
  <si>
    <t>Spain</t>
  </si>
  <si>
    <t>Malta</t>
  </si>
  <si>
    <t>Taiwan</t>
  </si>
  <si>
    <t>Eastern Asia</t>
  </si>
  <si>
    <t>Kuwait</t>
  </si>
  <si>
    <t>Suriname</t>
  </si>
  <si>
    <t>Trinidad and Tobago</t>
  </si>
  <si>
    <t>El Salvador</t>
  </si>
  <si>
    <t>Guatemala</t>
  </si>
  <si>
    <t>Uzbekistan</t>
  </si>
  <si>
    <t>Slovakia</t>
  </si>
  <si>
    <t>Japan</t>
  </si>
  <si>
    <t>South Korea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</si>
  <si>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</si>
  <si>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</si>
  <si>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</si>
  <si>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</si>
  <si>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</si>
  <si>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</si>
  <si>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</si>
  <si>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</si>
  <si>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</si>
  <si>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</si>
  <si>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</si>
  <si>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</si>
  <si>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</si>
  <si>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</si>
  <si>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</si>
  <si>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</si>
  <si>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</si>
  <si>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</si>
  <si>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North Cyprus</t>
  </si>
  <si>
    <t>Cyprus</t>
  </si>
  <si>
    <t>Algeria</t>
  </si>
  <si>
    <t>Kosovo</t>
  </si>
  <si>
    <t>Turkmenistan</t>
  </si>
  <si>
    <t>Mauritius</t>
  </si>
  <si>
    <t>Sub-Saharan Africa</t>
  </si>
  <si>
    <t>Hong Kong</t>
  </si>
  <si>
    <t>Estonia</t>
  </si>
  <si>
    <t>Indonesia</t>
  </si>
  <si>
    <t>Vietnam</t>
  </si>
  <si>
    <t>Turkey</t>
  </si>
  <si>
    <t>Kyrgyzstan</t>
  </si>
  <si>
    <t>Nigeria</t>
  </si>
  <si>
    <t>Bhutan</t>
  </si>
  <si>
    <t>Southern Asia</t>
  </si>
  <si>
    <t>Azerbaijan</t>
  </si>
  <si>
    <t>Pakistan</t>
  </si>
  <si>
    <t>Jordan</t>
  </si>
  <si>
    <t>Montenegro</t>
  </si>
  <si>
    <t>China</t>
  </si>
  <si>
    <t>Zambia</t>
  </si>
  <si>
    <t>Romania</t>
  </si>
  <si>
    <t>Serbia</t>
  </si>
  <si>
    <t>Portugal</t>
  </si>
  <si>
    <t>Latvia</t>
  </si>
  <si>
    <t>Philippines</t>
  </si>
  <si>
    <t>Somaliland region</t>
  </si>
  <si>
    <t>Morocco</t>
  </si>
  <si>
    <t>Macedonia</t>
  </si>
  <si>
    <t>Mozambique</t>
  </si>
  <si>
    <t>Albania</t>
  </si>
  <si>
    <t>Bosnia and Herzegovina</t>
  </si>
  <si>
    <t>Lesotho</t>
  </si>
  <si>
    <t>Dominican Republic</t>
  </si>
  <si>
    <t>Laos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</si>
  <si>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</si>
  <si>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</si>
  <si>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</si>
  <si>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</si>
  <si>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</si>
  <si>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</si>
  <si>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</si>
  <si>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</si>
  <si>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Palestinian Territories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</si>
  <si>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</si>
  <si>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</si>
  <si>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</si>
  <si>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</si>
  <si>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</si>
  <si>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</si>
  <si>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</si>
  <si>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</si>
  <si>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</si>
  <si>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</si>
  <si>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Haiti</t>
  </si>
  <si>
    <t>Congo (Kinshasa)</t>
  </si>
  <si>
    <t>Nepal</t>
  </si>
  <si>
    <t>Ethiopia</t>
  </si>
  <si>
    <t>Sierra Leone</t>
  </si>
  <si>
    <t>Mauritania</t>
  </si>
  <si>
    <t>Kenya</t>
  </si>
  <si>
    <t>Djibouti</t>
  </si>
  <si>
    <t>Armenia</t>
  </si>
  <si>
    <t>Botswana</t>
  </si>
  <si>
    <t>Myanmar</t>
  </si>
  <si>
    <t>Georgia</t>
  </si>
  <si>
    <t>Malawi</t>
  </si>
  <si>
    <t>Sri Lanka</t>
  </si>
  <si>
    <t>Cameroon</t>
  </si>
  <si>
    <t>Bulgaria</t>
  </si>
  <si>
    <t>Egypt</t>
  </si>
  <si>
    <t>Yemen</t>
  </si>
  <si>
    <t>Angola</t>
  </si>
  <si>
    <t>Mali</t>
  </si>
  <si>
    <t>Congo (Brazzaville)</t>
  </si>
  <si>
    <t>Comoros</t>
  </si>
  <si>
    <t>Uganda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</si>
  <si>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</si>
  <si>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</si>
  <si>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</si>
  <si>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</si>
  <si>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</si>
  <si>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</si>
  <si>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</si>
  <si>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</si>
  <si>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</si>
  <si>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Ivory Coast</t>
  </si>
  <si>
    <t>Burkina Faso</t>
  </si>
  <si>
    <t>Afghanistan</t>
  </si>
  <si>
    <t>Rwanda</t>
  </si>
  <si>
    <t>Benin</t>
  </si>
  <si>
    <t>Syria</t>
  </si>
  <si>
    <t>Burundi</t>
  </si>
  <si>
    <t>Togo</t>
  </si>
  <si>
    <t>Source:</t>
  </si>
  <si>
    <t>https://www.kaggle.com/datasets/unsdsn/world-happiness</t>
  </si>
  <si>
    <t>This dataset includes information on the happiness levels of over 150 countries, such as economic, social, and health factors that contribute to happiness.</t>
  </si>
  <si>
    <t>Country name.</t>
  </si>
  <si>
    <t>Region of the country.</t>
  </si>
  <si>
    <t>Rank of the country based on 'Happiness Score'.</t>
  </si>
  <si>
    <t>The standard error of the happiness score.</t>
  </si>
  <si>
    <t>The extent to which GDP contributes to the calculation of the Happiness Score.</t>
  </si>
  <si>
    <t>The extent to which Family contributes to the calculation of the Happiness Score</t>
  </si>
  <si>
    <t>The extent to which Life expectancy contributed to the calculation of the Happiness Score</t>
  </si>
  <si>
    <t>The extent to which Freedom contributed to the calculation of the Happiness Score.</t>
  </si>
  <si>
    <t>The extent to which Perception of Corruption contributes to Happiness Score.</t>
  </si>
  <si>
    <t>The extent to which Generosity contributed to the calculation of the Happiness Score.</t>
  </si>
  <si>
    <t>The extent to which Dystopia Residual contributed to the calculation of the Happiness Score.</t>
  </si>
  <si>
    <t>Lower Confidence Interval</t>
  </si>
  <si>
    <t>Upper Confidence Interval</t>
  </si>
  <si>
    <t>Upper Confidence Interval of the Happiness Score.</t>
  </si>
  <si>
    <t>Lower Confidence Interval of the Happiness Score.</t>
  </si>
  <si>
    <t>Year</t>
  </si>
  <si>
    <t>Individually, none of the files had any missing values, but upon merging them together, there were missing values in some columns.</t>
  </si>
  <si>
    <t>The 2015 data didn't have the variables: 'Lower Confidence Interval', 'Upper Confidence Interval'.</t>
  </si>
  <si>
    <t>The 2016 data didn't have the variables: 'Standard Error'.</t>
  </si>
  <si>
    <t>Happiness Rank / Overall Rank</t>
  </si>
  <si>
    <t>Social Support</t>
  </si>
  <si>
    <t>The extent to which Social Support contributed to the calculation of the Happiness Score.</t>
  </si>
  <si>
    <t>The 2018 data didn't have the variables: 'Standard Error', 'Lower Confidence Interval', 'Upper Confidence Interval', 'Family', 'Dystopia Residual'.</t>
  </si>
  <si>
    <t>The 2019 data didn't have the variables: 'Standard Error', 'Lower Confidence Interval', 'Upper Confidence Interval', 'Family', 'Dystopia Residual'.</t>
  </si>
  <si>
    <t>Puerto Rico</t>
  </si>
  <si>
    <t>Belize</t>
  </si>
  <si>
    <t>Somalia</t>
  </si>
  <si>
    <t>Somaliland Region</t>
  </si>
  <si>
    <t>Namibia</t>
  </si>
  <si>
    <t>South Sudan</t>
  </si>
  <si>
    <t>Happiness.Rank</t>
  </si>
  <si>
    <t>Happiness.Score</t>
  </si>
  <si>
    <t>Whisker.high</t>
  </si>
  <si>
    <t>Whisker.low</t>
  </si>
  <si>
    <t>Economy..GDP.per.Capita.</t>
  </si>
  <si>
    <t>Health..Life.Expectancy.</t>
  </si>
  <si>
    <t>Trust..Government.Corruption.</t>
  </si>
  <si>
    <t>Dystopia.Residual</t>
  </si>
  <si>
    <t>Taiwan Province of China</t>
  </si>
  <si>
    <t>Hong Kong S.A.R., China</t>
  </si>
  <si>
    <t>Overall rank</t>
  </si>
  <si>
    <t>Country or region</t>
  </si>
  <si>
    <t>Score</t>
  </si>
  <si>
    <t>GDP per capita</t>
  </si>
  <si>
    <t>Social support</t>
  </si>
  <si>
    <t>Healthy life expectancy</t>
  </si>
  <si>
    <t>Freedom to make life choices</t>
  </si>
  <si>
    <t>Perceptions of corruption</t>
  </si>
  <si>
    <t>N/A</t>
  </si>
  <si>
    <t>Trinidad &amp; Tobago</t>
  </si>
  <si>
    <t>Northern Cyprus</t>
  </si>
  <si>
    <t>North Macedonia</t>
  </si>
  <si>
    <t>Gambia</t>
  </si>
  <si>
    <t>The 2017 data didn't have the variables: 'Region'.</t>
  </si>
  <si>
    <t>Originally, there were five files--one for each year between 2015-2019. Some files did not share the same variables as others. Each contained data for about 155 countries/regions.</t>
  </si>
  <si>
    <t>So, there are between 312-624 missing values in the following variables:</t>
  </si>
  <si>
    <t>Region' (467), 'Standard Error' (624), 'Lower Confidence Interval' (470), 'Upper Confidence Interval' (470), 'Family' (312), 'Social Support' (470), 'Dystopia Residual' (312)</t>
  </si>
  <si>
    <t>In total, there are 782 data points (rows) &amp; 16 variables (columns).</t>
  </si>
  <si>
    <t>TOTAL METRICS</t>
  </si>
  <si>
    <t>-----------</t>
  </si>
  <si>
    <t>Total # unique countries:</t>
  </si>
  <si>
    <t>Total # unique regions:</t>
  </si>
  <si>
    <t>A metric measured by asking the sampled people the question: "How would you rate your happiness on a scale of 0 to 10 where 10 is the happiest."</t>
  </si>
  <si>
    <t>Avg Hap Score</t>
  </si>
  <si>
    <t>Min hap score</t>
  </si>
  <si>
    <t>Max hap score</t>
  </si>
  <si>
    <t>Avg Std Error</t>
  </si>
  <si>
    <t>Min Std error</t>
  </si>
  <si>
    <t>Max std error</t>
  </si>
  <si>
    <t>Lower/Upper Confidence Interval</t>
  </si>
  <si>
    <t>Lower/Upper Confidence Interval of the Happiness Score.</t>
  </si>
  <si>
    <t>Avg of lower confidence interval</t>
  </si>
  <si>
    <t>Min of L CI</t>
  </si>
  <si>
    <t>Max of L CI</t>
  </si>
  <si>
    <t>Avg of upper CI</t>
  </si>
  <si>
    <t>Min of U CI</t>
  </si>
  <si>
    <t>Max of U CI</t>
  </si>
  <si>
    <t>Avg of Economy</t>
  </si>
  <si>
    <t>Min of Eco</t>
  </si>
  <si>
    <t>Max of Eco</t>
  </si>
  <si>
    <t>Avg of Family</t>
  </si>
  <si>
    <t>Min of family</t>
  </si>
  <si>
    <t>Max of family</t>
  </si>
  <si>
    <t>Avg of social support</t>
  </si>
  <si>
    <t>Min of social support</t>
  </si>
  <si>
    <t>Max of social support</t>
  </si>
  <si>
    <t>Avg of life exp</t>
  </si>
  <si>
    <t>Min of LE</t>
  </si>
  <si>
    <t>Max of LE</t>
  </si>
  <si>
    <t>Min of Freedom</t>
  </si>
  <si>
    <t>Max of Freedom</t>
  </si>
  <si>
    <t>Avg of freedom</t>
  </si>
  <si>
    <t>Avg of Trust</t>
  </si>
  <si>
    <t>Min of trust</t>
  </si>
  <si>
    <t>Max of trust</t>
  </si>
  <si>
    <t>Min of Generosity</t>
  </si>
  <si>
    <t>Max of Generosity</t>
  </si>
  <si>
    <t>Avg of Generosity</t>
  </si>
  <si>
    <t>Dystopia Residual*</t>
  </si>
  <si>
    <t>Variables Notes:</t>
  </si>
  <si>
    <t>Dystopia is an imaginary country that has the world’s least-happy people.</t>
  </si>
  <si>
    <t>Since life would be very unpleasant in a country with the world’s lowest incomes, lowest life expectancy, lowest generosity, most corruption, least freedom and least social support, it is referred to as “Dystopia,” in contrast to Utopia.</t>
  </si>
  <si>
    <t>The residuals, or unexplained components, differ for each country, reflecting the extent to which the six variables either over- or under-explain average 2014-2016 life evaluations.</t>
  </si>
  <si>
    <t>These residuals have an average value of approximately zero over the whole set of countries.</t>
  </si>
  <si>
    <t>The purpose in establishing Dystopia is to have a benchmark against which all countries can be favorably compared (no country performs more poorly than Dystopia) in terms of each of the six key variables,</t>
  </si>
  <si>
    <t>thus allowing each sub-bar to be of positive width. The lowest scores observed for the six key variables, therefore, characterize Dystopia.</t>
  </si>
  <si>
    <t>Variables</t>
  </si>
  <si>
    <t>The extent to which Social Support contributes to the calculation of the Happiness Score</t>
  </si>
  <si>
    <t>If you add all these factors up, you get the happiness score so it might be un-reliable to model them to predict Happiness Scores.</t>
  </si>
  <si>
    <t>The Dystopia Residual metric actually is the Dystopia Happiness Score(1.85) + the Residual value or the unexplained value for each country as stated previously.</t>
  </si>
  <si>
    <t>Family**</t>
  </si>
  <si>
    <t>Social Support**</t>
  </si>
  <si>
    <t>Family &amp; Social Support**</t>
  </si>
  <si>
    <t>The extent to which Family / Social Support contributes to the calculation of the Happiness Score</t>
  </si>
  <si>
    <t xml:space="preserve">It is possible that they refer to the same metric/concept, but it is not directly intimated whether they are the same of different. </t>
  </si>
  <si>
    <t>The 'Family' name only pertains to the 2015-2017 datasets. The 'Social Support' term only pertains to the 2018-2019 datasets. Therefore, values of these variables do not overlap at all.</t>
  </si>
  <si>
    <t>Per Country</t>
  </si>
  <si>
    <t>Year of the survey (2015-2019).</t>
  </si>
  <si>
    <t>Avg of Hap Rank</t>
  </si>
  <si>
    <t>Avg of Hap Score</t>
  </si>
  <si>
    <t>Avg of Std Err</t>
  </si>
  <si>
    <t>Avg of Eco</t>
  </si>
  <si>
    <t>Avg of Fam</t>
  </si>
  <si>
    <t>Avg of Soc Supp</t>
  </si>
  <si>
    <t>Avg of Health</t>
  </si>
  <si>
    <t>Avg of Freedom</t>
  </si>
  <si>
    <t>Avg of Gen</t>
  </si>
  <si>
    <t># Surveys</t>
  </si>
  <si>
    <t>5/5 countries with lowest/highest avg happiness score</t>
  </si>
  <si>
    <t>Per Region</t>
  </si>
  <si>
    <t>Per Year</t>
  </si>
  <si>
    <t>Avg of Soc Sup</t>
  </si>
  <si>
    <t>Avg of Fre</t>
  </si>
  <si>
    <t># Countries</t>
  </si>
  <si>
    <t>(blank)</t>
  </si>
  <si>
    <t># Data Points</t>
  </si>
  <si>
    <t>Avg of Happiness Score</t>
  </si>
  <si>
    <t>Which country has the highest happiness score?</t>
  </si>
  <si>
    <t>Avg Happiness Score</t>
  </si>
  <si>
    <t>Country with outright largest happiness score:</t>
  </si>
  <si>
    <t>Country with greatest average happiness score:</t>
  </si>
  <si>
    <t>What is the correlation between GDP per capita and happiness score?</t>
  </si>
  <si>
    <t>High, positive correlation.</t>
  </si>
  <si>
    <t>Overall:</t>
  </si>
  <si>
    <t>Per Region:</t>
  </si>
  <si>
    <t>Per Year:</t>
  </si>
  <si>
    <t>Correlation</t>
  </si>
  <si>
    <t>Which region of the world has the highest average happiness score?</t>
  </si>
  <si>
    <t>Zoom to 70%</t>
  </si>
  <si>
    <t>High, positive correlation</t>
  </si>
  <si>
    <t>Moderate, positive correlation</t>
  </si>
  <si>
    <t>Low, positive correlation</t>
  </si>
  <si>
    <t>Moderate, negative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</si>
</sst>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Display"/>
      <family val="2"/>
    </font>
    <font>
      <sz val="11"/>
      <color theme="1"/>
      <name val="Aptos Display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Display"/>
      <family val="2"/>
    </font>
    <font>
      <b/>
      <sz val="13"/>
      <color theme="3"/>
      <name val="Aptos Display"/>
      <family val="2"/>
    </font>
    <font>
      <b/>
      <sz val="11"/>
      <color theme="3"/>
      <name val="Aptos Display"/>
      <family val="2"/>
    </font>
    <font>
      <sz val="11"/>
      <color rgb="FF006100"/>
      <name val="Aptos Display"/>
      <family val="2"/>
    </font>
    <font>
      <sz val="11"/>
      <color rgb="FF9C0006"/>
      <name val="Aptos Display"/>
      <family val="2"/>
    </font>
    <font>
      <sz val="11"/>
      <color rgb="FF9C5700"/>
      <name val="Aptos Display"/>
      <family val="2"/>
    </font>
    <font>
      <sz val="11"/>
      <color rgb="FF3F3F76"/>
      <name val="Aptos Display"/>
      <family val="2"/>
    </font>
    <font>
      <b/>
      <sz val="11"/>
      <color rgb="FF3F3F3F"/>
      <name val="Aptos Display"/>
      <family val="2"/>
    </font>
    <font>
      <b/>
      <sz val="11"/>
      <color rgb="FFFA7D00"/>
      <name val="Aptos Display"/>
      <family val="2"/>
    </font>
    <font>
      <sz val="11"/>
      <color rgb="FFFA7D00"/>
      <name val="Aptos Display"/>
      <family val="2"/>
    </font>
    <font>
      <b/>
      <sz val="11"/>
      <color theme="0"/>
      <name val="Aptos Display"/>
      <family val="2"/>
    </font>
    <font>
      <sz val="11"/>
      <color rgb="FFFF0000"/>
      <name val="Aptos Display"/>
      <family val="2"/>
    </font>
    <font>
      <i/>
      <sz val="11"/>
      <color rgb="FF7F7F7F"/>
      <name val="Aptos Display"/>
      <family val="2"/>
    </font>
    <font>
      <b/>
      <sz val="11"/>
      <color theme="1"/>
      <name val="Aptos Display"/>
      <family val="2"/>
    </font>
    <font>
      <sz val="11"/>
      <color theme="0"/>
      <name val="Aptos Display"/>
      <family val="2"/>
    </font>
    <font>
      <u/>
      <sz val="11"/>
      <color theme="10"/>
      <name val="Aptos Display"/>
      <family val="2"/>
    </font>
    <font>
      <i/>
      <sz val="11"/>
      <color theme="1"/>
      <name val="Aptos Display"/>
      <family val="2"/>
    </font>
    <font>
      <sz val="10"/>
      <color theme="1"/>
      <name val="Aptos Display"/>
      <family val="2"/>
    </font>
    <font>
      <b/>
      <sz val="14"/>
      <color theme="1"/>
      <name val="Aptos Display"/>
      <family val="2"/>
    </font>
    <font>
      <b/>
      <sz val="18"/>
      <color theme="1"/>
      <name val="Aptos Display"/>
      <family val="2"/>
    </font>
    <font>
      <b/>
      <sz val="20"/>
      <color theme="1"/>
      <name val="Aptos Display"/>
      <family val="2"/>
    </font>
    <font>
      <b/>
      <i/>
      <sz val="11"/>
      <color theme="1"/>
      <name val="Aptos Display"/>
      <family val="2"/>
    </font>
    <font>
      <sz val="10.5"/>
      <color theme="1"/>
      <name val="Aptos Display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0" fontId="18" fillId="0" borderId="0" xfId="42"/>
    <xf numFmtId="0" fontId="16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quotePrefix="1"/>
    <xf numFmtId="0" fontId="21" fillId="0" borderId="0" xfId="0" applyFont="1"/>
    <xf numFmtId="0" fontId="22" fillId="0" borderId="0" xfId="0" quotePrefix="1" applyFont="1"/>
    <xf numFmtId="0" fontId="23" fillId="0" borderId="0" xfId="0" applyFont="1"/>
    <xf numFmtId="0" fontId="2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0" fillId="34" borderId="0" xfId="0" applyFill="1"/>
    <xf numFmtId="0" fontId="25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Annual</a:t>
            </a:r>
            <a:r>
              <a:rPr lang="en-US" b="1" baseline="0"/>
              <a:t> Happiness Score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20603674540679"/>
          <c:y val="0.20372483611962294"/>
          <c:w val="0.80823840769903765"/>
          <c:h val="0.60677281719095455"/>
        </c:manualLayout>
      </c:layout>
      <c:lineChart>
        <c:grouping val="standard"/>
        <c:varyColors val="0"/>
        <c:ser>
          <c:idx val="2"/>
          <c:order val="0"/>
          <c:tx>
            <c:v># Countries</c:v>
          </c:tx>
          <c:spPr>
            <a:ln w="28575" cap="rnd">
              <a:solidFill>
                <a:schemeClr val="accent1">
                  <a:alpha val="73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7809B52-8FA4-4A48-B374-A9EB969E60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5CA-4C0F-8AD7-A04CEE91D0D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F896902-E7B7-495C-B82A-DCC43CF85B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5CA-4C0F-8AD7-A04CEE91D0D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CF06290-DD76-44F4-BDC5-9009C5E2DA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5CA-4C0F-8AD7-A04CEE91D0D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6ADBE59-B54D-4CEB-A10A-E30A01EEAC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5CA-4C0F-8AD7-A04CEE91D0D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0AFAE01-EAFA-49DC-8C2A-D6DB2BB772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5CA-4C0F-8AD7-A04CEE91D0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analysis!$F$581:$F$585</c:f>
              <c:numCache>
                <c:formatCode>General</c:formatCode>
                <c:ptCount val="5"/>
                <c:pt idx="0">
                  <c:v>5.3757341772151905</c:v>
                </c:pt>
                <c:pt idx="1">
                  <c:v>5.3821847133757954</c:v>
                </c:pt>
                <c:pt idx="2">
                  <c:v>5.354019355773926</c:v>
                </c:pt>
                <c:pt idx="3">
                  <c:v>5.3759166666666678</c:v>
                </c:pt>
                <c:pt idx="4">
                  <c:v>5.4070961538461528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analysis!$E$581:$E$585</c15:f>
                <c15:dlblRangeCache>
                  <c:ptCount val="5"/>
                  <c:pt idx="0">
                    <c:v>158</c:v>
                  </c:pt>
                  <c:pt idx="1">
                    <c:v>157</c:v>
                  </c:pt>
                  <c:pt idx="2">
                    <c:v>155</c:v>
                  </c:pt>
                  <c:pt idx="3">
                    <c:v>156</c:v>
                  </c:pt>
                  <c:pt idx="4">
                    <c:v>156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85CA-4C0F-8AD7-A04CEE91D0D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9436735"/>
        <c:axId val="189426655"/>
      </c:lineChart>
      <c:catAx>
        <c:axId val="189436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Year</a:t>
                </a:r>
              </a:p>
            </c:rich>
          </c:tx>
          <c:layout>
            <c:manualLayout>
              <c:xMode val="edge"/>
              <c:yMode val="edge"/>
              <c:x val="0.52272090988626418"/>
              <c:y val="0.91108778069407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26655"/>
        <c:crosses val="autoZero"/>
        <c:auto val="1"/>
        <c:lblAlgn val="ctr"/>
        <c:lblOffset val="100"/>
        <c:noMultiLvlLbl val="0"/>
      </c:catAx>
      <c:valAx>
        <c:axId val="189426655"/>
        <c:scaling>
          <c:orientation val="minMax"/>
          <c:max val="6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Happiness</a:t>
                </a:r>
                <a:r>
                  <a:rPr lang="en-US" b="1" baseline="0"/>
                  <a:t> Score (0-10)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21416973740351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3673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8870778652668414"/>
          <c:y val="0.12852216748768472"/>
          <c:w val="0.19137628004993262"/>
          <c:h val="8.08225485836990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Regions</a:t>
            </a:r>
            <a:r>
              <a:rPr lang="en-US" b="1" baseline="0"/>
              <a:t> vs Average Happiness Score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analysis!$F$536</c:f>
              <c:strCache>
                <c:ptCount val="1"/>
                <c:pt idx="0">
                  <c:v>Avg of Hap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analysis!$D$537:$D$546</c:f>
              <c:strCache>
                <c:ptCount val="10"/>
                <c:pt idx="0">
                  <c:v>Australia and New Zealand</c:v>
                </c:pt>
                <c:pt idx="1">
                  <c:v>North America</c:v>
                </c:pt>
                <c:pt idx="2">
                  <c:v>Western Europe</c:v>
                </c:pt>
                <c:pt idx="3">
                  <c:v>Latin America and Caribbean</c:v>
                </c:pt>
                <c:pt idx="4">
                  <c:v>Eastern Asia</c:v>
                </c:pt>
                <c:pt idx="5">
                  <c:v>Middle East and Northern Africa</c:v>
                </c:pt>
                <c:pt idx="6">
                  <c:v>Central and Eastern Europe</c:v>
                </c:pt>
                <c:pt idx="7">
                  <c:v>Southeastern Asia</c:v>
                </c:pt>
                <c:pt idx="8">
                  <c:v>Southern Asia</c:v>
                </c:pt>
                <c:pt idx="9">
                  <c:v>Sub-Saharan Africa</c:v>
                </c:pt>
              </c:strCache>
            </c:strRef>
          </c:cat>
          <c:val>
            <c:numRef>
              <c:f>analysis!$F$537:$F$546</c:f>
              <c:numCache>
                <c:formatCode>General</c:formatCode>
                <c:ptCount val="10"/>
                <c:pt idx="0">
                  <c:v>7.3042499999999997</c:v>
                </c:pt>
                <c:pt idx="1">
                  <c:v>7.2634999999999996</c:v>
                </c:pt>
                <c:pt idx="2">
                  <c:v>6.6876428571428574</c:v>
                </c:pt>
                <c:pt idx="3">
                  <c:v>6.1222826086956523</c:v>
                </c:pt>
                <c:pt idx="4">
                  <c:v>5.625166666666666</c:v>
                </c:pt>
                <c:pt idx="5">
                  <c:v>5.3967435897435871</c:v>
                </c:pt>
                <c:pt idx="6">
                  <c:v>5.3518103448275847</c:v>
                </c:pt>
                <c:pt idx="7">
                  <c:v>5.3281666666666672</c:v>
                </c:pt>
                <c:pt idx="8">
                  <c:v>4.5720714285714283</c:v>
                </c:pt>
                <c:pt idx="9">
                  <c:v>4.1704615384615371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80-45D8-A180-29D72A562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050271"/>
        <c:axId val="97052191"/>
      </c:barChart>
      <c:catAx>
        <c:axId val="970502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52191"/>
        <c:crosses val="autoZero"/>
        <c:auto val="1"/>
        <c:lblAlgn val="ctr"/>
        <c:lblOffset val="100"/>
        <c:noMultiLvlLbl val="0"/>
      </c:catAx>
      <c:valAx>
        <c:axId val="9705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Average Happiness</a:t>
                </a:r>
                <a:r>
                  <a:rPr lang="en-US" sz="1100" b="1" baseline="0"/>
                  <a:t> Score (0-10)</a:t>
                </a:r>
                <a:endParaRPr lang="en-US" sz="1100" b="1"/>
              </a:p>
            </c:rich>
          </c:tx>
          <c:layout>
            <c:manualLayout>
              <c:xMode val="edge"/>
              <c:yMode val="edge"/>
              <c:x val="0.53241867610611893"/>
              <c:y val="0.914021109063494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5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/>
              <a:t>10 Countries with Most Extreme Average Happiness Scores (2015-2019)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172743610619017"/>
          <c:y val="0.28729221347331585"/>
          <c:w val="0.76813697456904262"/>
          <c:h val="0.53991469816272974"/>
        </c:manualLayout>
      </c:layout>
      <c:barChart>
        <c:barDir val="bar"/>
        <c:grouping val="clustered"/>
        <c:varyColors val="0"/>
        <c:ser>
          <c:idx val="1"/>
          <c:order val="0"/>
          <c:tx>
            <c:v># Surveys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CB1B496-DD83-4ACE-9EDE-1931A84DB9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BA2-4BAE-912D-502BAF9D646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9731E0F-9438-4C9B-A6FB-2E0F0C6C0E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BA2-4BAE-912D-502BAF9D646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AA8D9C0-EA1E-4DB8-AB81-593CDC9A89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BA2-4BAE-912D-502BAF9D646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BEF5152-ADFF-496E-A3FC-1A4B97C0BA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BA2-4BAE-912D-502BAF9D646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B70E302-132C-4993-BF14-D53A096D15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BA2-4BAE-912D-502BAF9D646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5ED12F5-A5C0-4A16-AC67-A9A795F72F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BA2-4BAE-912D-502BAF9D646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7F36377-0D14-48C4-AA4E-80B7CF3E39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BA2-4BAE-912D-502BAF9D646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5EA8FF0-E968-492D-BA3A-0EBA4A3057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BA2-4BAE-912D-502BAF9D646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0998166-C357-4074-8728-7733C3BF24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BA2-4BAE-912D-502BAF9D646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6778D40-CDD9-42BD-9380-E016F0AED5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BA2-4BAE-912D-502BAF9D64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analysis!$E$498:$E$507</c:f>
              <c:strCache>
                <c:ptCount val="10"/>
                <c:pt idx="0">
                  <c:v>Syria</c:v>
                </c:pt>
                <c:pt idx="1">
                  <c:v>Iceland</c:v>
                </c:pt>
                <c:pt idx="2">
                  <c:v>South Sudan</c:v>
                </c:pt>
                <c:pt idx="3">
                  <c:v>Norway</c:v>
                </c:pt>
                <c:pt idx="4">
                  <c:v>Rwanda</c:v>
                </c:pt>
                <c:pt idx="5">
                  <c:v>Switzerland</c:v>
                </c:pt>
                <c:pt idx="6">
                  <c:v>Finland</c:v>
                </c:pt>
                <c:pt idx="7">
                  <c:v>Denmark</c:v>
                </c:pt>
                <c:pt idx="8">
                  <c:v>Central African Republic</c:v>
                </c:pt>
                <c:pt idx="9">
                  <c:v>Burundi</c:v>
                </c:pt>
              </c:strCache>
            </c:strRef>
          </c:cat>
          <c:val>
            <c:numRef>
              <c:f>analysis!$G$498:$G$507</c:f>
              <c:numCache>
                <c:formatCode>General</c:formatCode>
                <c:ptCount val="10"/>
                <c:pt idx="0">
                  <c:v>7.5459999671936044</c:v>
                </c:pt>
                <c:pt idx="1">
                  <c:v>7.5410000358581541</c:v>
                </c:pt>
                <c:pt idx="2">
                  <c:v>7.5377999725341791</c:v>
                </c:pt>
                <c:pt idx="3">
                  <c:v>7.5113999916076661</c:v>
                </c:pt>
                <c:pt idx="4">
                  <c:v>7.5110000373840338</c:v>
                </c:pt>
                <c:pt idx="5">
                  <c:v>3.4385999912261958</c:v>
                </c:pt>
                <c:pt idx="6">
                  <c:v>3.3825000200271598</c:v>
                </c:pt>
                <c:pt idx="7">
                  <c:v>3.2921999786376959</c:v>
                </c:pt>
                <c:pt idx="8">
                  <c:v>3.1342500195503225</c:v>
                </c:pt>
                <c:pt idx="9">
                  <c:v>3.0789999942779538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analysis!$F$498:$F$507</c15:f>
                <c15:dlblRangeCache>
                  <c:ptCount val="10"/>
                  <c:pt idx="0">
                    <c:v>5</c:v>
                  </c:pt>
                  <c:pt idx="1">
                    <c:v>5</c:v>
                  </c:pt>
                  <c:pt idx="2">
                    <c:v>5</c:v>
                  </c:pt>
                  <c:pt idx="3">
                    <c:v>5</c:v>
                  </c:pt>
                  <c:pt idx="4">
                    <c:v>5</c:v>
                  </c:pt>
                  <c:pt idx="5">
                    <c:v>5</c:v>
                  </c:pt>
                  <c:pt idx="6">
                    <c:v>4</c:v>
                  </c:pt>
                  <c:pt idx="7">
                    <c:v>5</c:v>
                  </c:pt>
                  <c:pt idx="8">
                    <c:v>4</c:v>
                  </c:pt>
                  <c:pt idx="9">
                    <c:v>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2BA2-4BAE-912D-502BAF9D64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6341871"/>
        <c:axId val="96335631"/>
      </c:barChart>
      <c:catAx>
        <c:axId val="96341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Country</a:t>
                </a:r>
              </a:p>
            </c:rich>
          </c:tx>
          <c:layout>
            <c:manualLayout>
              <c:xMode val="edge"/>
              <c:yMode val="edge"/>
              <c:x val="2.4653310396048635E-3"/>
              <c:y val="0.470883082334804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35631"/>
        <c:crosses val="autoZero"/>
        <c:auto val="1"/>
        <c:lblAlgn val="ctr"/>
        <c:lblOffset val="100"/>
        <c:noMultiLvlLbl val="0"/>
      </c:catAx>
      <c:valAx>
        <c:axId val="9633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Average Happiness Score</a:t>
                </a:r>
                <a:r>
                  <a:rPr lang="en-US" sz="1100" b="1" baseline="0"/>
                  <a:t> (0-10)</a:t>
                </a:r>
                <a:endParaRPr lang="en-US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4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329971553573973"/>
          <c:y val="0.19064814814814818"/>
          <c:w val="0.10366918345136346"/>
          <c:h val="7.39874343503668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50" b="1"/>
              <a:t>Correlation</a:t>
            </a:r>
            <a:r>
              <a:rPr lang="en-US" sz="1350" b="1" baseline="0"/>
              <a:t> Between Happiness Score &amp; GDP per Capita</a:t>
            </a:r>
            <a:endParaRPr lang="en-US" sz="135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v>"Data"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FF8-42DA-975A-319E7C5B3655}"/>
              </c:ext>
            </c:extLst>
          </c:dPt>
          <c:dLbls>
            <c:delete val="1"/>
          </c:dLbls>
          <c:cat>
            <c:strRef>
              <c:f>analysis!$E$649:$E$658</c:f>
              <c:strCache>
                <c:ptCount val="10"/>
                <c:pt idx="0">
                  <c:v>Southeastern Asia</c:v>
                </c:pt>
                <c:pt idx="1">
                  <c:v>Middle East and Northern Africa</c:v>
                </c:pt>
                <c:pt idx="2">
                  <c:v>Latin America and Caribbean</c:v>
                </c:pt>
                <c:pt idx="3">
                  <c:v>Eastern Asia</c:v>
                </c:pt>
                <c:pt idx="4">
                  <c:v>Western Europe</c:v>
                </c:pt>
                <c:pt idx="5">
                  <c:v>Australia and New Zealand</c:v>
                </c:pt>
                <c:pt idx="6">
                  <c:v>Southern Asia</c:v>
                </c:pt>
                <c:pt idx="7">
                  <c:v>Central and Eastern Europe</c:v>
                </c:pt>
                <c:pt idx="8">
                  <c:v>Sub-Saharan Africa</c:v>
                </c:pt>
                <c:pt idx="9">
                  <c:v>North America</c:v>
                </c:pt>
              </c:strCache>
            </c:strRef>
          </c:cat>
          <c:val>
            <c:numRef>
              <c:f>analysis!$G$649:$G$658</c:f>
              <c:numCache>
                <c:formatCode>General</c:formatCode>
                <c:ptCount val="10"/>
                <c:pt idx="0">
                  <c:v>0.89570277164146017</c:v>
                </c:pt>
                <c:pt idx="1">
                  <c:v>0.80137970895322141</c:v>
                </c:pt>
                <c:pt idx="2">
                  <c:v>0.72141201626333729</c:v>
                </c:pt>
                <c:pt idx="3">
                  <c:v>0.71437015661491732</c:v>
                </c:pt>
                <c:pt idx="4">
                  <c:v>0.61362831889746361</c:v>
                </c:pt>
                <c:pt idx="5">
                  <c:v>0.57589569494956749</c:v>
                </c:pt>
                <c:pt idx="6">
                  <c:v>0.42690024043107094</c:v>
                </c:pt>
                <c:pt idx="7">
                  <c:v>0.38664965344190794</c:v>
                </c:pt>
                <c:pt idx="8">
                  <c:v>0.31679327173430588</c:v>
                </c:pt>
                <c:pt idx="9">
                  <c:v>-0.56600397933967805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F8-42DA-975A-319E7C5B36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4928623"/>
        <c:axId val="184929103"/>
      </c:barChart>
      <c:catAx>
        <c:axId val="1849286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29103"/>
        <c:crosses val="autoZero"/>
        <c:auto val="1"/>
        <c:lblAlgn val="ctr"/>
        <c:lblOffset val="100"/>
        <c:noMultiLvlLbl val="0"/>
      </c:catAx>
      <c:valAx>
        <c:axId val="184929103"/>
        <c:scaling>
          <c:orientation val="minMax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Correlation (-1,1)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2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/>
              <a:t>Annual</a:t>
            </a:r>
            <a:r>
              <a:rPr lang="en-US" sz="1300" b="1" baseline="0"/>
              <a:t> Correlation Between Happiness Score &amp; GDP per Capita</a:t>
            </a:r>
            <a:endParaRPr lang="en-US" sz="13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13366871022683"/>
          <c:y val="0.287270448112739"/>
          <c:w val="0.8409454235789604"/>
          <c:h val="0.54404126921624973"/>
        </c:manualLayout>
      </c:layout>
      <c:lineChart>
        <c:grouping val="standard"/>
        <c:varyColors val="0"/>
        <c:ser>
          <c:idx val="2"/>
          <c:order val="0"/>
          <c:tx>
            <c:v># Countries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91CBB04-9DD2-42FE-BB08-43EB8443DD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391-40E4-8439-B0A29A00CF5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EF6E586-A387-4B4A-BF76-AE1058C474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391-40E4-8439-B0A29A00CF5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12E114A-2BC5-4165-9DDA-6253B0BD7F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391-40E4-8439-B0A29A00CF5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2446438-47EB-41CB-B7FB-69D4546E96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391-40E4-8439-B0A29A00CF5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900BEEF-3104-41B7-A1F5-400FF3548D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391-40E4-8439-B0A29A00CF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numRef>
              <c:f>analysis!$E$668:$E$672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analysis!$G$668:$G$672</c:f>
              <c:numCache>
                <c:formatCode>General</c:formatCode>
                <c:ptCount val="5"/>
                <c:pt idx="0">
                  <c:v>0.7809655268660215</c:v>
                </c:pt>
                <c:pt idx="1">
                  <c:v>0.79032201672610625</c:v>
                </c:pt>
                <c:pt idx="2">
                  <c:v>0.81246875388664119</c:v>
                </c:pt>
                <c:pt idx="3">
                  <c:v>0.80212394673019038</c:v>
                </c:pt>
                <c:pt idx="4">
                  <c:v>0.7938828678781279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analysis!$F$668:$F$672</c15:f>
                <c15:dlblRangeCache>
                  <c:ptCount val="5"/>
                  <c:pt idx="0">
                    <c:v>158</c:v>
                  </c:pt>
                  <c:pt idx="1">
                    <c:v>157</c:v>
                  </c:pt>
                  <c:pt idx="2">
                    <c:v>155</c:v>
                  </c:pt>
                  <c:pt idx="3">
                    <c:v>156</c:v>
                  </c:pt>
                  <c:pt idx="4">
                    <c:v>156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F391-40E4-8439-B0A29A00CF5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157263"/>
        <c:axId val="155140943"/>
      </c:lineChart>
      <c:catAx>
        <c:axId val="155157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Year</a:t>
                </a:r>
              </a:p>
            </c:rich>
          </c:tx>
          <c:layout>
            <c:manualLayout>
              <c:xMode val="edge"/>
              <c:yMode val="edge"/>
              <c:x val="0.51846970611607635"/>
              <c:y val="0.896084590333307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40943"/>
        <c:crosses val="autoZero"/>
        <c:auto val="1"/>
        <c:lblAlgn val="ctr"/>
        <c:lblOffset val="100"/>
        <c:noMultiLvlLbl val="0"/>
      </c:catAx>
      <c:valAx>
        <c:axId val="155140943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Correlation (-1,1)</a:t>
                </a:r>
              </a:p>
            </c:rich>
          </c:tx>
          <c:layout>
            <c:manualLayout>
              <c:xMode val="edge"/>
              <c:yMode val="edge"/>
              <c:x val="1.1126988730200313E-2"/>
              <c:y val="0.35380008055878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5726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9101935842034741"/>
          <c:y val="0.19149797790232881"/>
          <c:w val="0.2175738980422206"/>
          <c:h val="7.6984944912482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50" b="1"/>
              <a:t>Correlation</a:t>
            </a:r>
            <a:r>
              <a:rPr lang="en-US" sz="1250" b="1" baseline="0"/>
              <a:t> Between Happiness Score &amp; GDP per Capita</a:t>
            </a:r>
            <a:endParaRPr lang="en-US" sz="125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0779094560078855"/>
          <c:y val="0.15432776732561385"/>
          <c:w val="0.55589655104852531"/>
          <c:h val="0.66623198937308037"/>
        </c:manualLayout>
      </c:layout>
      <c:barChart>
        <c:barDir val="bar"/>
        <c:grouping val="clustered"/>
        <c:varyColors val="0"/>
        <c:ser>
          <c:idx val="1"/>
          <c:order val="0"/>
          <c:tx>
            <c:v>"Data"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7FB-4B19-B8E3-3F91AED25C67}"/>
              </c:ext>
            </c:extLst>
          </c:dPt>
          <c:dLbls>
            <c:delete val="1"/>
          </c:dLbls>
          <c:cat>
            <c:strRef>
              <c:f>analysis!$E$649:$E$658</c:f>
              <c:strCache>
                <c:ptCount val="10"/>
                <c:pt idx="0">
                  <c:v>Southeastern Asia</c:v>
                </c:pt>
                <c:pt idx="1">
                  <c:v>Middle East and Northern Africa</c:v>
                </c:pt>
                <c:pt idx="2">
                  <c:v>Latin America and Caribbean</c:v>
                </c:pt>
                <c:pt idx="3">
                  <c:v>Eastern Asia</c:v>
                </c:pt>
                <c:pt idx="4">
                  <c:v>Western Europe</c:v>
                </c:pt>
                <c:pt idx="5">
                  <c:v>Australia and New Zealand</c:v>
                </c:pt>
                <c:pt idx="6">
                  <c:v>Southern Asia</c:v>
                </c:pt>
                <c:pt idx="7">
                  <c:v>Central and Eastern Europe</c:v>
                </c:pt>
                <c:pt idx="8">
                  <c:v>Sub-Saharan Africa</c:v>
                </c:pt>
                <c:pt idx="9">
                  <c:v>North America</c:v>
                </c:pt>
              </c:strCache>
            </c:strRef>
          </c:cat>
          <c:val>
            <c:numRef>
              <c:f>analysis!$G$649:$G$658</c:f>
              <c:numCache>
                <c:formatCode>General</c:formatCode>
                <c:ptCount val="10"/>
                <c:pt idx="0">
                  <c:v>0.89570277164146017</c:v>
                </c:pt>
                <c:pt idx="1">
                  <c:v>0.80137970895322141</c:v>
                </c:pt>
                <c:pt idx="2">
                  <c:v>0.72141201626333729</c:v>
                </c:pt>
                <c:pt idx="3">
                  <c:v>0.71437015661491732</c:v>
                </c:pt>
                <c:pt idx="4">
                  <c:v>0.61362831889746361</c:v>
                </c:pt>
                <c:pt idx="5">
                  <c:v>0.57589569494956749</c:v>
                </c:pt>
                <c:pt idx="6">
                  <c:v>0.42690024043107094</c:v>
                </c:pt>
                <c:pt idx="7">
                  <c:v>0.38664965344190794</c:v>
                </c:pt>
                <c:pt idx="8">
                  <c:v>0.31679327173430588</c:v>
                </c:pt>
                <c:pt idx="9">
                  <c:v>-0.56600397933967805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FB-4B19-B8E3-3F91AED25C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4928623"/>
        <c:axId val="184929103"/>
      </c:barChart>
      <c:catAx>
        <c:axId val="1849286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29103"/>
        <c:crosses val="autoZero"/>
        <c:auto val="1"/>
        <c:lblAlgn val="ctr"/>
        <c:lblOffset val="100"/>
        <c:noMultiLvlLbl val="0"/>
      </c:catAx>
      <c:valAx>
        <c:axId val="184929103"/>
        <c:scaling>
          <c:orientation val="minMax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Correlation (-1,1)</a:t>
                </a:r>
              </a:p>
            </c:rich>
          </c:tx>
          <c:layout>
            <c:manualLayout>
              <c:xMode val="edge"/>
              <c:yMode val="edge"/>
              <c:x val="0.58056147704491978"/>
              <c:y val="0.90539445950514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2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10 Countries with Most Extreme Average Happiness Scores (2015-2019)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172743610619017"/>
          <c:y val="0.19512914914924601"/>
          <c:w val="0.76813697456904262"/>
          <c:h val="0.63207783851328325"/>
        </c:manualLayout>
      </c:layout>
      <c:barChart>
        <c:barDir val="bar"/>
        <c:grouping val="clustered"/>
        <c:varyColors val="0"/>
        <c:ser>
          <c:idx val="1"/>
          <c:order val="0"/>
          <c:tx>
            <c:v># Surveys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0AA0EA4-792A-413F-BD26-86C6E3ECAA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6E8-442C-8308-BBD8A5185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527A3CA-92E8-4BB0-8ADE-ED82E26A58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6E8-442C-8308-BBD8A5185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8D53466-58A3-47C0-9E8D-DA17F5A4B8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6E8-442C-8308-BBD8A5185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3F59B9F-D0FE-44CC-B4F8-979957228A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6E8-442C-8308-BBD8A5185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E1683EC-6295-44EB-A62F-64B677B75D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6E8-442C-8308-BBD8A5185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53167DF-0E32-4B2F-B42E-4834346948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6E8-442C-8308-BBD8A5185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9968CBB-8C72-4E55-82BE-5C40C303DE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6E8-442C-8308-BBD8A5185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674C97F-C6F4-49D1-B7D5-5FFC422105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6E8-442C-8308-BBD8A5185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E4FA664-9371-4007-8AA9-A55A90F8DF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6E8-442C-8308-BBD8A5185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CF1AEC3-683A-4F21-9671-672B4E97EA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6E8-442C-8308-BBD8A51856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analysis!$E$498:$E$507</c:f>
              <c:strCache>
                <c:ptCount val="10"/>
                <c:pt idx="0">
                  <c:v>Syria</c:v>
                </c:pt>
                <c:pt idx="1">
                  <c:v>Iceland</c:v>
                </c:pt>
                <c:pt idx="2">
                  <c:v>South Sudan</c:v>
                </c:pt>
                <c:pt idx="3">
                  <c:v>Norway</c:v>
                </c:pt>
                <c:pt idx="4">
                  <c:v>Rwanda</c:v>
                </c:pt>
                <c:pt idx="5">
                  <c:v>Switzerland</c:v>
                </c:pt>
                <c:pt idx="6">
                  <c:v>Finland</c:v>
                </c:pt>
                <c:pt idx="7">
                  <c:v>Denmark</c:v>
                </c:pt>
                <c:pt idx="8">
                  <c:v>Central African Republic</c:v>
                </c:pt>
                <c:pt idx="9">
                  <c:v>Burundi</c:v>
                </c:pt>
              </c:strCache>
            </c:strRef>
          </c:cat>
          <c:val>
            <c:numRef>
              <c:f>analysis!$G$498:$G$507</c:f>
              <c:numCache>
                <c:formatCode>General</c:formatCode>
                <c:ptCount val="10"/>
                <c:pt idx="0">
                  <c:v>7.5459999671936044</c:v>
                </c:pt>
                <c:pt idx="1">
                  <c:v>7.5410000358581541</c:v>
                </c:pt>
                <c:pt idx="2">
                  <c:v>7.5377999725341791</c:v>
                </c:pt>
                <c:pt idx="3">
                  <c:v>7.5113999916076661</c:v>
                </c:pt>
                <c:pt idx="4">
                  <c:v>7.5110000373840338</c:v>
                </c:pt>
                <c:pt idx="5">
                  <c:v>3.4385999912261958</c:v>
                </c:pt>
                <c:pt idx="6">
                  <c:v>3.3825000200271598</c:v>
                </c:pt>
                <c:pt idx="7">
                  <c:v>3.2921999786376959</c:v>
                </c:pt>
                <c:pt idx="8">
                  <c:v>3.1342500195503225</c:v>
                </c:pt>
                <c:pt idx="9">
                  <c:v>3.0789999942779538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analysis!$F$498:$F$507</c15:f>
                <c15:dlblRangeCache>
                  <c:ptCount val="10"/>
                  <c:pt idx="0">
                    <c:v>5</c:v>
                  </c:pt>
                  <c:pt idx="1">
                    <c:v>5</c:v>
                  </c:pt>
                  <c:pt idx="2">
                    <c:v>5</c:v>
                  </c:pt>
                  <c:pt idx="3">
                    <c:v>5</c:v>
                  </c:pt>
                  <c:pt idx="4">
                    <c:v>5</c:v>
                  </c:pt>
                  <c:pt idx="5">
                    <c:v>5</c:v>
                  </c:pt>
                  <c:pt idx="6">
                    <c:v>4</c:v>
                  </c:pt>
                  <c:pt idx="7">
                    <c:v>5</c:v>
                  </c:pt>
                  <c:pt idx="8">
                    <c:v>4</c:v>
                  </c:pt>
                  <c:pt idx="9">
                    <c:v>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06E8-442C-8308-BBD8A51856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6341871"/>
        <c:axId val="96335631"/>
      </c:barChart>
      <c:catAx>
        <c:axId val="96341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Country</a:t>
                </a:r>
              </a:p>
            </c:rich>
          </c:tx>
          <c:layout>
            <c:manualLayout>
              <c:xMode val="edge"/>
              <c:yMode val="edge"/>
              <c:x val="1.4684785544483825E-2"/>
              <c:y val="0.462105698209888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35631"/>
        <c:crosses val="autoZero"/>
        <c:auto val="1"/>
        <c:lblAlgn val="ctr"/>
        <c:lblOffset val="100"/>
        <c:noMultiLvlLbl val="0"/>
      </c:catAx>
      <c:valAx>
        <c:axId val="9633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Average Happiness Score</a:t>
                </a:r>
                <a:r>
                  <a:rPr lang="en-US" sz="1200" b="1" baseline="0"/>
                  <a:t> (0-10)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4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3299719529887831"/>
          <c:y val="0.12042873937464622"/>
          <c:w val="0.10378245917351023"/>
          <c:h val="7.60568838517260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Regions</a:t>
            </a:r>
            <a:r>
              <a:rPr lang="en-US" b="1" baseline="0"/>
              <a:t> vs Average Happiness Score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875702547923265"/>
          <c:y val="0.12378723404255321"/>
          <c:w val="0.68573954736921061"/>
          <c:h val="0.7079222650360194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analysis!$F$536</c:f>
              <c:strCache>
                <c:ptCount val="1"/>
                <c:pt idx="0">
                  <c:v>Avg of Hap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analysis!$D$537:$D$546</c:f>
              <c:strCache>
                <c:ptCount val="10"/>
                <c:pt idx="0">
                  <c:v>Australia and New Zealand</c:v>
                </c:pt>
                <c:pt idx="1">
                  <c:v>North America</c:v>
                </c:pt>
                <c:pt idx="2">
                  <c:v>Western Europe</c:v>
                </c:pt>
                <c:pt idx="3">
                  <c:v>Latin America and Caribbean</c:v>
                </c:pt>
                <c:pt idx="4">
                  <c:v>Eastern Asia</c:v>
                </c:pt>
                <c:pt idx="5">
                  <c:v>Middle East and Northern Africa</c:v>
                </c:pt>
                <c:pt idx="6">
                  <c:v>Central and Eastern Europe</c:v>
                </c:pt>
                <c:pt idx="7">
                  <c:v>Southeastern Asia</c:v>
                </c:pt>
                <c:pt idx="8">
                  <c:v>Southern Asia</c:v>
                </c:pt>
                <c:pt idx="9">
                  <c:v>Sub-Saharan Africa</c:v>
                </c:pt>
              </c:strCache>
            </c:strRef>
          </c:cat>
          <c:val>
            <c:numRef>
              <c:f>analysis!$F$537:$F$546</c:f>
              <c:numCache>
                <c:formatCode>General</c:formatCode>
                <c:ptCount val="10"/>
                <c:pt idx="0">
                  <c:v>7.3042499999999997</c:v>
                </c:pt>
                <c:pt idx="1">
                  <c:v>7.2634999999999996</c:v>
                </c:pt>
                <c:pt idx="2">
                  <c:v>6.6876428571428574</c:v>
                </c:pt>
                <c:pt idx="3">
                  <c:v>6.1222826086956523</c:v>
                </c:pt>
                <c:pt idx="4">
                  <c:v>5.625166666666666</c:v>
                </c:pt>
                <c:pt idx="5">
                  <c:v>5.3967435897435871</c:v>
                </c:pt>
                <c:pt idx="6">
                  <c:v>5.3518103448275847</c:v>
                </c:pt>
                <c:pt idx="7">
                  <c:v>5.3281666666666672</c:v>
                </c:pt>
                <c:pt idx="8">
                  <c:v>4.5720714285714283</c:v>
                </c:pt>
                <c:pt idx="9">
                  <c:v>4.1704615384615371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6-4457-B075-C0D104B2C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050271"/>
        <c:axId val="97052191"/>
      </c:barChart>
      <c:catAx>
        <c:axId val="970502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Region</a:t>
                </a:r>
              </a:p>
            </c:rich>
          </c:tx>
          <c:layout>
            <c:manualLayout>
              <c:xMode val="edge"/>
              <c:yMode val="edge"/>
              <c:x val="1.1100136215060109E-2"/>
              <c:y val="0.384818165171214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52191"/>
        <c:crosses val="autoZero"/>
        <c:auto val="1"/>
        <c:lblAlgn val="ctr"/>
        <c:lblOffset val="100"/>
        <c:noMultiLvlLbl val="0"/>
      </c:catAx>
      <c:valAx>
        <c:axId val="9705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Average Happiness</a:t>
                </a:r>
                <a:r>
                  <a:rPr lang="en-US" sz="1200" b="1" baseline="0"/>
                  <a:t> Score (0-10)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0.53241867610611893"/>
              <c:y val="0.914021109063494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5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Annual</a:t>
            </a:r>
            <a:r>
              <a:rPr lang="en-US" b="1" baseline="0"/>
              <a:t> Happiness Score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20603674540679"/>
          <c:y val="0.20851421052691124"/>
          <c:w val="0.80823840769903765"/>
          <c:h val="0.60198343604254079"/>
        </c:manualLayout>
      </c:layout>
      <c:lineChart>
        <c:grouping val="standard"/>
        <c:varyColors val="0"/>
        <c:ser>
          <c:idx val="2"/>
          <c:order val="0"/>
          <c:tx>
            <c:v># Countries</c:v>
          </c:tx>
          <c:spPr>
            <a:ln w="28575" cap="rnd">
              <a:solidFill>
                <a:schemeClr val="accent1">
                  <a:alpha val="73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9EFB2FC-97EF-426D-AEF9-F7E2ACCBDE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F7F-46C6-B822-DFFAB5DF338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A92DA35-F950-4733-B622-504DC32299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F7F-46C6-B822-DFFAB5DF338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6C950C5-9BD0-4B27-BFB2-5E1184B5CE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F7F-46C6-B822-DFFAB5DF338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8A578B0-8E69-41BC-99AF-F17D2F8297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F7F-46C6-B822-DFFAB5DF338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1B6F781-4D06-4383-B5C8-75580910B7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F7F-46C6-B822-DFFAB5DF33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analysis!$F$581:$F$585</c:f>
              <c:numCache>
                <c:formatCode>General</c:formatCode>
                <c:ptCount val="5"/>
                <c:pt idx="0">
                  <c:v>5.3757341772151905</c:v>
                </c:pt>
                <c:pt idx="1">
                  <c:v>5.3821847133757954</c:v>
                </c:pt>
                <c:pt idx="2">
                  <c:v>5.354019355773926</c:v>
                </c:pt>
                <c:pt idx="3">
                  <c:v>5.3759166666666678</c:v>
                </c:pt>
                <c:pt idx="4">
                  <c:v>5.4070961538461528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analysis!$E$581:$E$585</c15:f>
                <c15:dlblRangeCache>
                  <c:ptCount val="5"/>
                  <c:pt idx="0">
                    <c:v>158</c:v>
                  </c:pt>
                  <c:pt idx="1">
                    <c:v>157</c:v>
                  </c:pt>
                  <c:pt idx="2">
                    <c:v>155</c:v>
                  </c:pt>
                  <c:pt idx="3">
                    <c:v>156</c:v>
                  </c:pt>
                  <c:pt idx="4">
                    <c:v>156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EF7F-46C6-B822-DFFAB5DF338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9436735"/>
        <c:axId val="189426655"/>
      </c:lineChart>
      <c:catAx>
        <c:axId val="189436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00" b="1"/>
                  <a:t>Year</a:t>
                </a:r>
              </a:p>
            </c:rich>
          </c:tx>
          <c:layout>
            <c:manualLayout>
              <c:xMode val="edge"/>
              <c:yMode val="edge"/>
              <c:x val="0.52272090988626418"/>
              <c:y val="0.91108778069407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26655"/>
        <c:crosses val="autoZero"/>
        <c:auto val="1"/>
        <c:lblAlgn val="ctr"/>
        <c:lblOffset val="100"/>
        <c:noMultiLvlLbl val="0"/>
      </c:catAx>
      <c:valAx>
        <c:axId val="189426655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Average Happiness</a:t>
                </a:r>
                <a:r>
                  <a:rPr lang="en-US" sz="1100" b="1" baseline="0"/>
                  <a:t> Score (0-10)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21416973740351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36735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6357970375851822"/>
          <c:y val="0.12373263399808651"/>
          <c:w val="0.3170173356356687"/>
          <c:h val="8.08225485836990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Generosity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Generosity</a:t>
          </a:r>
        </a:p>
      </cx:txPr>
    </cx:title>
    <cx:plotArea>
      <cx:plotAreaRegion>
        <cx:series layoutId="clusteredColumn" uniqueId="{723E3AE0-C18D-4C7D-A106-384FA99DAD04}">
          <cx:dataId val="0"/>
          <cx:layoutPr>
            <cx:binning intervalClosed="r">
              <cx:binSize val="0.05000000000000001"/>
            </cx:binning>
          </cx:layoutPr>
        </cx:series>
      </cx:plotAreaRegion>
      <cx:axis id="0">
        <cx:catScaling gapWidth="0"/>
        <cx:title>
          <cx:tx>
            <cx:txData>
              <cx:v>Generosity Factor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Generosity Factor</a:t>
              </a:r>
            </a:p>
          </cx:txPr>
        </cx:title>
        <cx:tickLabels/>
      </cx:axis>
      <cx:axis id="1">
        <cx:valScaling/>
        <cx:title>
          <cx:tx>
            <cx:txData>
              <cx:v># Observations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# Observations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Distribution of Trust (Government Corruption)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Trust (Government Corruption)</a:t>
          </a:r>
        </a:p>
      </cx:txPr>
    </cx:title>
    <cx:plotArea>
      <cx:plotAreaRegion>
        <cx:series layoutId="clusteredColumn" uniqueId="{9D7E8BE4-0755-4F51-BC80-0384787BCAEC}">
          <cx:dataId val="0"/>
          <cx:layoutPr>
            <cx:binning intervalClosed="r">
              <cx:binSize val="0.05000000000000001"/>
            </cx:binning>
          </cx:layoutPr>
        </cx:series>
      </cx:plotAreaRegion>
      <cx:axis id="0">
        <cx:catScaling gapWidth="0"/>
        <cx:title>
          <cx:tx>
            <cx:txData>
              <cx:v>Trust (Government Corruption) Factor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Trust (Government Corruption) Factor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50"/>
            </a:pPr>
            <a:endParaRPr lang="en-US" sz="85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# Observations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# Observations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Distribution of Freedom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Freedom</a:t>
          </a:r>
        </a:p>
      </cx:txPr>
    </cx:title>
    <cx:plotArea>
      <cx:plotAreaRegion>
        <cx:series layoutId="clusteredColumn" uniqueId="{A25EDF0D-C33E-4715-B04F-2018702B96B9}">
          <cx:dataId val="0"/>
          <cx:layoutPr>
            <cx:binning intervalClosed="r">
              <cx:binSize val="0.05000000000000001"/>
            </cx:binning>
          </cx:layoutPr>
        </cx:series>
      </cx:plotAreaRegion>
      <cx:axis id="0">
        <cx:catScaling gapWidth="0"/>
        <cx:title>
          <cx:tx>
            <cx:txData>
              <cx:v>Freedom Factor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Freedom Factor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/>
            </a:pPr>
            <a:endParaRPr lang="en-US" sz="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# Observations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# Observations</a:t>
              </a:r>
            </a:p>
          </cx:txPr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Distribution of Health (Life Expectancy)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Health (Life Expectancy)</a:t>
          </a:r>
        </a:p>
      </cx:txPr>
    </cx:title>
    <cx:plotArea>
      <cx:plotAreaRegion>
        <cx:series layoutId="clusteredColumn" uniqueId="{B66340ED-554F-43A5-90BD-7732CD96F3C6}"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 gapWidth="0"/>
        <cx:title>
          <cx:tx>
            <cx:txData>
              <cx:v>Health (Life Expectancy) Factor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Health (Life Expectancy) Factor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/>
            </a:pPr>
            <a:endParaRPr lang="en-US" sz="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# Observations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# Observations</a:t>
              </a:r>
            </a:p>
          </cx:txPr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Distribution of Social Support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Social Support</a:t>
          </a:r>
        </a:p>
      </cx:txPr>
    </cx:title>
    <cx:plotArea>
      <cx:plotAreaRegion>
        <cx:series layoutId="clusteredColumn" uniqueId="{18D91049-2392-4821-9E31-E14081AF7D3E}">
          <cx:tx>
            <cx:txData>
              <cx:f>_xlchart.v1.4</cx:f>
              <cx:v/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Social Support Factor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Social Support Factor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50"/>
            </a:pPr>
            <a:endParaRPr lang="en-US" sz="85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# Observations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# Observations</a:t>
              </a:r>
            </a:p>
          </cx:txPr>
        </cx:title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Distribution of Family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Family</a:t>
          </a:r>
        </a:p>
      </cx:txPr>
    </cx:title>
    <cx:plotArea>
      <cx:plotAreaRegion>
        <cx:series layoutId="clusteredColumn" uniqueId="{6578D06E-E7B7-4B00-8119-54C39D4EDD63}">
          <cx:dataId val="0"/>
          <cx:layoutPr>
            <cx:binning intervalClosed="r">
              <cx:binSize val="0.15000000000000002"/>
            </cx:binning>
          </cx:layoutPr>
        </cx:series>
      </cx:plotAreaRegion>
      <cx:axis id="0">
        <cx:catScaling gapWidth="0"/>
        <cx:title>
          <cx:tx>
            <cx:txData>
              <cx:v>Family Factor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Family Factor</a:t>
              </a:r>
            </a:p>
          </cx:txPr>
        </cx:title>
        <cx:tickLabels/>
      </cx:axis>
      <cx:axis id="1">
        <cx:valScaling/>
        <cx:title>
          <cx:tx>
            <cx:txData>
              <cx:v># Observations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# Observations</a:t>
              </a:r>
            </a:p>
          </cx:txPr>
        </cx:title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Distribution of Economy (GDP per Capita)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Economy (GDP per Capita)</a:t>
          </a:r>
        </a:p>
      </cx:txPr>
    </cx:title>
    <cx:plotArea>
      <cx:plotAreaRegion>
        <cx:series layoutId="clusteredColumn" uniqueId="{9D861DB8-54F8-4B59-83F9-5AC8AE3CD70D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Economy (GDP per Capita) Factor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Economy (GDP per Capita) Factor</a:t>
              </a:r>
            </a:p>
          </cx:txPr>
        </cx:title>
        <cx:tickLabels/>
      </cx:axis>
      <cx:axis id="1">
        <cx:valScaling/>
        <cx:title>
          <cx:tx>
            <cx:txData>
              <cx:v># Observations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# Observations</a:t>
              </a:r>
            </a:p>
          </cx:txPr>
        </cx:title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Distribution of Happiness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Happiness Score</a:t>
          </a:r>
        </a:p>
      </cx:txPr>
    </cx:title>
    <cx:plotArea>
      <cx:plotAreaRegion>
        <cx:series layoutId="clusteredColumn" uniqueId="{E3428FAD-2BB9-4160-AFCC-893FDF7DC96C}">
          <cx:dataId val="0"/>
          <cx:layoutPr>
            <cx:binning intervalClosed="r" underflow="3" overflow="8">
              <cx:binSize val="0.25"/>
            </cx:binning>
          </cx:layoutPr>
        </cx:series>
      </cx:plotAreaRegion>
      <cx:axis id="0">
        <cx:catScaling gapWidth="0"/>
        <cx:title>
          <cx:tx>
            <cx:txData>
              <cx:v>Happiness Score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Happiness Score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50"/>
            </a:pPr>
            <a:endParaRPr lang="en-US" sz="85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# Observations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# Observations</a:t>
              </a:r>
            </a:p>
          </cx:txPr>
        </cx:title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Distribution of Happiness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Happiness Score</a:t>
          </a:r>
        </a:p>
      </cx:txPr>
    </cx:title>
    <cx:plotArea>
      <cx:plotAreaRegion>
        <cx:series layoutId="clusteredColumn" uniqueId="{E3428FAD-2BB9-4160-AFCC-893FDF7DC96C}">
          <cx:dataId val="0"/>
          <cx:layoutPr>
            <cx:binning intervalClosed="r" underflow="3" overflow="8">
              <cx:binSize val="0.25"/>
            </cx:binning>
          </cx:layoutPr>
        </cx:series>
      </cx:plotAreaRegion>
      <cx:axis id="0">
        <cx:catScaling gapWidth="0"/>
        <cx:title>
          <cx:tx>
            <cx:txData>
              <cx:v>Happiness Score (0-10)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Happiness Score (0-10)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50"/>
            </a:pPr>
            <a:endParaRPr lang="en-US" sz="85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# Observations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 b="1"/>
              </a:pPr>
              <a:r>
                <a:rPr lang="en-US" sz="11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# Observations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5.xml"/><Relationship Id="rId13" Type="http://schemas.openxmlformats.org/officeDocument/2006/relationships/chart" Target="../charts/chart5.xml"/><Relationship Id="rId3" Type="http://schemas.openxmlformats.org/officeDocument/2006/relationships/chart" Target="../charts/chart3.xml"/><Relationship Id="rId7" Type="http://schemas.microsoft.com/office/2014/relationships/chartEx" Target="../charts/chartEx4.xml"/><Relationship Id="rId12" Type="http://schemas.openxmlformats.org/officeDocument/2006/relationships/chart" Target="../charts/chart4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3.xml"/><Relationship Id="rId11" Type="http://schemas.microsoft.com/office/2014/relationships/chartEx" Target="../charts/chartEx8.xml"/><Relationship Id="rId5" Type="http://schemas.microsoft.com/office/2014/relationships/chartEx" Target="../charts/chartEx2.xml"/><Relationship Id="rId10" Type="http://schemas.microsoft.com/office/2014/relationships/chartEx" Target="../charts/chartEx7.xml"/><Relationship Id="rId4" Type="http://schemas.microsoft.com/office/2014/relationships/chartEx" Target="../charts/chartEx1.xml"/><Relationship Id="rId9" Type="http://schemas.microsoft.com/office/2014/relationships/chartEx" Target="../charts/chartEx6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microsoft.com/office/2014/relationships/chartEx" Target="../charts/chartEx9.xml"/><Relationship Id="rId1" Type="http://schemas.openxmlformats.org/officeDocument/2006/relationships/chart" Target="../charts/chart6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579</xdr:row>
      <xdr:rowOff>79375</xdr:rowOff>
    </xdr:from>
    <xdr:to>
      <xdr:col>11</xdr:col>
      <xdr:colOff>246062</xdr:colOff>
      <xdr:row>593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E926A3-4245-C0DF-FC79-BCE71DF5F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535</xdr:row>
      <xdr:rowOff>0</xdr:rowOff>
    </xdr:from>
    <xdr:to>
      <xdr:col>12</xdr:col>
      <xdr:colOff>1039813</xdr:colOff>
      <xdr:row>551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C7534D-3FAF-4D66-AE06-9C09CF1D37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39687</xdr:colOff>
      <xdr:row>495</xdr:row>
      <xdr:rowOff>39688</xdr:rowOff>
    </xdr:from>
    <xdr:to>
      <xdr:col>13</xdr:col>
      <xdr:colOff>142875</xdr:colOff>
      <xdr:row>510</xdr:row>
      <xdr:rowOff>119062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D078D32-7458-4353-8A9A-FE7BC6407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973117</xdr:colOff>
      <xdr:row>130</xdr:row>
      <xdr:rowOff>90715</xdr:rowOff>
    </xdr:from>
    <xdr:to>
      <xdr:col>7</xdr:col>
      <xdr:colOff>745507</xdr:colOff>
      <xdr:row>145</xdr:row>
      <xdr:rowOff>112486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B90B260B-20D4-41BB-8F43-0B3CFDD116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54317" y="25636765"/>
              <a:ext cx="5938240" cy="27840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838382</xdr:colOff>
      <xdr:row>116</xdr:row>
      <xdr:rowOff>107789</xdr:rowOff>
    </xdr:from>
    <xdr:to>
      <xdr:col>10</xdr:col>
      <xdr:colOff>688661</xdr:colOff>
      <xdr:row>129</xdr:row>
      <xdr:rowOff>91229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D71AA56A-8640-4D4F-916B-F6F8616D37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90082" y="22929689"/>
              <a:ext cx="4327029" cy="2523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754532</xdr:colOff>
      <xdr:row>104</xdr:row>
      <xdr:rowOff>62258</xdr:rowOff>
    </xdr:from>
    <xdr:to>
      <xdr:col>13</xdr:col>
      <xdr:colOff>724438</xdr:colOff>
      <xdr:row>117</xdr:row>
      <xdr:rowOff>162972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6C69518A-D40D-48E0-987E-E748719B8D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82982" y="20382258"/>
              <a:ext cx="5310256" cy="27867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849416</xdr:colOff>
      <xdr:row>92</xdr:row>
      <xdr:rowOff>148442</xdr:rowOff>
    </xdr:from>
    <xdr:to>
      <xdr:col>10</xdr:col>
      <xdr:colOff>268308</xdr:colOff>
      <xdr:row>106</xdr:row>
      <xdr:rowOff>54758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6FE0DE60-FBBB-4CAB-AA83-881BA5E1C2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01116" y="18112592"/>
              <a:ext cx="3895642" cy="27765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469950</xdr:colOff>
      <xdr:row>81</xdr:row>
      <xdr:rowOff>61093</xdr:rowOff>
    </xdr:from>
    <xdr:to>
      <xdr:col>12</xdr:col>
      <xdr:colOff>679718</xdr:colOff>
      <xdr:row>94</xdr:row>
      <xdr:rowOff>298326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FC766476-CFD3-4CB8-A140-D6C0E0946D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8400" y="15853543"/>
              <a:ext cx="3753068" cy="27772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569026</xdr:colOff>
      <xdr:row>71</xdr:row>
      <xdr:rowOff>98961</xdr:rowOff>
    </xdr:from>
    <xdr:to>
      <xdr:col>10</xdr:col>
      <xdr:colOff>205704</xdr:colOff>
      <xdr:row>85</xdr:row>
      <xdr:rowOff>5278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6B1967FE-3378-4C90-BC47-8BD33B9DBD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20726" y="13903861"/>
              <a:ext cx="4113428" cy="27765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571697</xdr:colOff>
      <xdr:row>55</xdr:row>
      <xdr:rowOff>106510</xdr:rowOff>
    </xdr:from>
    <xdr:to>
      <xdr:col>10</xdr:col>
      <xdr:colOff>1037463</xdr:colOff>
      <xdr:row>69</xdr:row>
      <xdr:rowOff>155926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0B80E170-59E1-4F79-90D8-38B06C4BE6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23397" y="10818960"/>
              <a:ext cx="4942516" cy="27735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570921</xdr:colOff>
      <xdr:row>26</xdr:row>
      <xdr:rowOff>173182</xdr:rowOff>
    </xdr:from>
    <xdr:to>
      <xdr:col>11</xdr:col>
      <xdr:colOff>965915</xdr:colOff>
      <xdr:row>41</xdr:row>
      <xdr:rowOff>46512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248D14D6-E07C-453C-9ADE-75AC88BE2A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22621" y="5253182"/>
              <a:ext cx="6643394" cy="27816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1008331</xdr:colOff>
      <xdr:row>645</xdr:row>
      <xdr:rowOff>209172</xdr:rowOff>
    </xdr:from>
    <xdr:to>
      <xdr:col>12</xdr:col>
      <xdr:colOff>177100</xdr:colOff>
      <xdr:row>661</xdr:row>
      <xdr:rowOff>104165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7B2A79E-4F45-F561-E136-61F7CFB3C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270136</xdr:colOff>
      <xdr:row>663</xdr:row>
      <xdr:rowOff>36696</xdr:rowOff>
    </xdr:from>
    <xdr:to>
      <xdr:col>12</xdr:col>
      <xdr:colOff>189396</xdr:colOff>
      <xdr:row>677</xdr:row>
      <xdr:rowOff>146384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918318E-C6CA-F318-6C57-3AB11FFE8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29</xdr:row>
      <xdr:rowOff>0</xdr:rowOff>
    </xdr:from>
    <xdr:to>
      <xdr:col>27</xdr:col>
      <xdr:colOff>9071</xdr:colOff>
      <xdr:row>43</xdr:row>
      <xdr:rowOff>172357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3AA561-670B-4558-A854-6218F40050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12</xdr:row>
      <xdr:rowOff>0</xdr:rowOff>
    </xdr:from>
    <xdr:to>
      <xdr:col>14</xdr:col>
      <xdr:colOff>308429</xdr:colOff>
      <xdr:row>27</xdr:row>
      <xdr:rowOff>172358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E920F052-C265-4593-A310-9AA6A9AD43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41600" y="2209800"/>
              <a:ext cx="6912429" cy="29346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344715</xdr:colOff>
      <xdr:row>12</xdr:row>
      <xdr:rowOff>0</xdr:rowOff>
    </xdr:from>
    <xdr:to>
      <xdr:col>26</xdr:col>
      <xdr:colOff>653143</xdr:colOff>
      <xdr:row>27</xdr:row>
      <xdr:rowOff>172358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3EBD3A1-571B-4BCE-AF69-71B16F78DF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29</xdr:row>
      <xdr:rowOff>0</xdr:rowOff>
    </xdr:from>
    <xdr:to>
      <xdr:col>13</xdr:col>
      <xdr:colOff>653143</xdr:colOff>
      <xdr:row>44</xdr:row>
      <xdr:rowOff>9072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C16F0D5-74D1-4E08-9CDE-24ED4B8CA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163286</xdr:colOff>
      <xdr:row>29</xdr:row>
      <xdr:rowOff>0</xdr:rowOff>
    </xdr:from>
    <xdr:to>
      <xdr:col>19</xdr:col>
      <xdr:colOff>444500</xdr:colOff>
      <xdr:row>44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4AA28CA-BD79-40FB-AB42-B682ECFAB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jah Shepherd" refreshedDate="45805.590919444447" createdVersion="8" refreshedVersion="8" minRefreshableVersion="3" recordCount="782" xr:uid="{96104534-18BA-4AE6-AF65-3427A19AB129}">
  <cacheSource type="worksheet">
    <worksheetSource name="Data"/>
  </cacheSource>
  <cacheFields count="16">
    <cacheField name="Country" numFmtId="0">
      <sharedItems count="169">
        <s v="Switzerland"/>
        <s v="Iceland"/>
        <s v="Denmark"/>
        <s v="Norway"/>
        <s v="Canada"/>
        <s v="Finland"/>
        <s v="Netherlands"/>
        <s v="Sweden"/>
        <s v="New Zealand"/>
        <s v="Australia"/>
        <s v="Israel"/>
        <s v="Costa Rica"/>
        <s v="Austria"/>
        <s v="Mexico"/>
        <s v="United States"/>
        <s v="Brazil"/>
        <s v="Luxembourg"/>
        <s v="Ireland"/>
        <s v="Belgium"/>
        <s v="United Arab Emirates"/>
        <s v="United Kingdom"/>
        <s v="Oman"/>
        <s v="Venezuela"/>
        <s v="Singapore"/>
        <s v="Panama"/>
        <s v="Germany"/>
        <s v="Chile"/>
        <s v="Qatar"/>
        <s v="France"/>
        <s v="Argentina"/>
        <s v="Czech Republic"/>
        <s v="Uruguay"/>
        <s v="Colombia"/>
        <s v="Thailand"/>
        <s v="Saudi Arabia"/>
        <s v="Spain"/>
        <s v="Malta"/>
        <s v="Taiwan"/>
        <s v="Kuwait"/>
        <s v="Suriname"/>
        <s v="Trinidad and Tobago"/>
        <s v="El Salvador"/>
        <s v="Guatemala"/>
        <s v="Uzbekistan"/>
        <s v="Slovakia"/>
        <s v="Japan"/>
        <s v="South Korea"/>
        <s v="Ecuador"/>
        <s v="Bahrain"/>
        <s v="Italy"/>
        <s v="Bolivia"/>
        <s v="Moldova"/>
        <s v="Paraguay"/>
        <s v="Kazakhstan"/>
        <s v="Slovenia"/>
        <s v="Lithuania"/>
        <s v="Nicaragua"/>
        <s v="Peru"/>
        <s v="Belarus"/>
        <s v="Poland"/>
        <s v="Malaysia"/>
        <s v="Croatia"/>
        <s v="Libya"/>
        <s v="Russia"/>
        <s v="Jamaica"/>
        <s v="North Cyprus"/>
        <s v="Cyprus"/>
        <s v="Algeria"/>
        <s v="Kosovo"/>
        <s v="Turkmenistan"/>
        <s v="Mauritius"/>
        <s v="Hong Kong"/>
        <s v="Estonia"/>
        <s v="Indonesia"/>
        <s v="Vietnam"/>
        <s v="Turkey"/>
        <s v="Kyrgyzstan"/>
        <s v="Nigeria"/>
        <s v="Bhutan"/>
        <s v="Azerbaijan"/>
        <s v="Pakistan"/>
        <s v="Jordan"/>
        <s v="Montenegro"/>
        <s v="China"/>
        <s v="Zambia"/>
        <s v="Romania"/>
        <s v="Serbia"/>
        <s v="Portugal"/>
        <s v="Latvia"/>
        <s v="Philippines"/>
        <s v="Somaliland region"/>
        <s v="Morocco"/>
        <s v="Macedonia"/>
        <s v="Mozambique"/>
        <s v="Albania"/>
        <s v="Bosnia and Herzegovina"/>
        <s v="Lesotho"/>
        <s v="Dominican Republic"/>
        <s v="Laos"/>
        <s v="Mongolia"/>
        <s v="Swaziland"/>
        <s v="Greece"/>
        <s v="Lebanon"/>
        <s v="Hungary"/>
        <s v="Honduras"/>
        <s v="Tajikistan"/>
        <s v="Tunisia"/>
        <s v="Palestinian Territories"/>
        <s v="Bangladesh"/>
        <s v="Iran"/>
        <s v="Ukraine"/>
        <s v="Iraq"/>
        <s v="South Africa"/>
        <s v="Ghana"/>
        <s v="Zimbabwe"/>
        <s v="Liberia"/>
        <s v="India"/>
        <s v="Sudan"/>
        <s v="Haiti"/>
        <s v="Congo (Kinshasa)"/>
        <s v="Nepal"/>
        <s v="Ethiopia"/>
        <s v="Sierra Leone"/>
        <s v="Mauritania"/>
        <s v="Kenya"/>
        <s v="Djibouti"/>
        <s v="Armenia"/>
        <s v="Botswana"/>
        <s v="Myanmar"/>
        <s v="Georgia"/>
        <s v="Malawi"/>
        <s v="Sri Lanka"/>
        <s v="Cameroon"/>
        <s v="Bulgaria"/>
        <s v="Egypt"/>
        <s v="Yemen"/>
        <s v="Angola"/>
        <s v="Mali"/>
        <s v="Congo (Brazzaville)"/>
        <s v="Comoros"/>
        <s v="Uganda"/>
        <s v="Senegal"/>
        <s v="Gabon"/>
        <s v="Niger"/>
        <s v="Cambodia"/>
        <s v="Tanzania"/>
        <s v="Madagascar"/>
        <s v="Central African Republic"/>
        <s v="Chad"/>
        <s v="Guinea"/>
        <s v="Ivory Coast"/>
        <s v="Burkina Faso"/>
        <s v="Afghanistan"/>
        <s v="Rwanda"/>
        <s v="Benin"/>
        <s v="Syria"/>
        <s v="Burundi"/>
        <s v="Togo"/>
        <s v="Puerto Rico"/>
        <s v="Belize"/>
        <s v="Somalia"/>
        <s v="Namibia"/>
        <s v="South Sudan"/>
        <s v="Taiwan Province of China"/>
        <s v="Hong Kong S.A.R., China"/>
        <s v="Trinidad &amp; Tobago"/>
        <s v="Northern Cyprus"/>
        <s v="North Macedonia"/>
        <s v="Gambia"/>
      </sharedItems>
    </cacheField>
    <cacheField name="Region" numFmtId="0">
      <sharedItems containsBlank="1" count="11">
        <s v="Western Europe"/>
        <s v="North America"/>
        <s v="Australia and New Zealand"/>
        <s v="Middle East and Northern Africa"/>
        <s v="Latin America and Caribbean"/>
        <s v="Southeastern Asia"/>
        <s v="Central and Eastern Europe"/>
        <s v="Eastern Asia"/>
        <s v="Sub-Saharan Africa"/>
        <s v="Southern Asia"/>
        <m/>
      </sharedItems>
    </cacheField>
    <cacheField name="Happiness Rank" numFmtId="0">
      <sharedItems containsSemiMixedTypes="0" containsString="0" containsNumber="1" containsInteger="1" minValue="1" maxValue="158"/>
    </cacheField>
    <cacheField name="Happiness Score" numFmtId="0">
      <sharedItems containsSemiMixedTypes="0" containsString="0" containsNumber="1" minValue="2.6930000782012899" maxValue="7.7690000000000001"/>
    </cacheField>
    <cacheField name="Standard Error" numFmtId="0">
      <sharedItems containsString="0" containsBlank="1" containsNumber="1" minValue="1.848E-2" maxValue="0.13693"/>
    </cacheField>
    <cacheField name="Lower Confidence Interval" numFmtId="0">
      <sharedItems containsString="0" containsBlank="1" containsNumber="1" minValue="2.7320000000000002" maxValue="7.62203047305346"/>
    </cacheField>
    <cacheField name="Upper Confidence Interval" numFmtId="0">
      <sharedItems containsString="0" containsBlank="1" containsNumber="1" minValue="2.5211158871650698" maxValue="7.6689999999999996"/>
    </cacheField>
    <cacheField name="Economy (GDP per Capita)" numFmtId="0">
      <sharedItems containsSemiMixedTypes="0" containsString="0" containsNumber="1" minValue="0" maxValue="2.0960000000000001"/>
    </cacheField>
    <cacheField name="Family" numFmtId="0">
      <sharedItems containsString="0" containsBlank="1" containsNumber="1" minValue="0" maxValue="1.6105740070343"/>
    </cacheField>
    <cacheField name="Social Support" numFmtId="0">
      <sharedItems containsString="0" containsBlank="1" containsNumber="1" minValue="0" maxValue="1.6439999999999999"/>
    </cacheField>
    <cacheField name="Health (Life Expectancy)" numFmtId="0">
      <sharedItems containsSemiMixedTypes="0" containsString="0" containsNumber="1" minValue="0" maxValue="1.141"/>
    </cacheField>
    <cacheField name="Freedom" numFmtId="0">
      <sharedItems containsSemiMixedTypes="0" containsString="0" containsNumber="1" minValue="0" maxValue="0.72399999999999998"/>
    </cacheField>
    <cacheField name="Trust (Government Corruption)" numFmtId="0">
      <sharedItems containsMixedTypes="1" containsNumber="1" minValue="0" maxValue="0.55191000000000001"/>
    </cacheField>
    <cacheField name="Generosity" numFmtId="0">
      <sharedItems containsSemiMixedTypes="0" containsString="0" containsNumber="1" minValue="0" maxValue="0.83807516098022505"/>
    </cacheField>
    <cacheField name="Dystopia Residual" numFmtId="0">
      <sharedItems containsString="0" containsBlank="1" containsNumber="1" minValue="0.32857999999999998" maxValue="3.83772"/>
    </cacheField>
    <cacheField name="Year" numFmtId="0">
      <sharedItems containsSemiMixedTypes="0" containsString="0" containsNumber="1" containsInteger="1" minValue="2015" maxValue="2019" count="5">
        <n v="2015"/>
        <n v="2016"/>
        <n v="2017"/>
        <n v="2018"/>
        <n v="201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2">
  <r>
    <x v="0"/>
    <x v="0"/>
    <n v="1"/>
    <n v="7.5869999999999997"/>
    <n v="3.4110000000000001E-2"/>
    <m/>
    <m/>
    <n v="1.3965099999999999"/>
    <n v="1.34951"/>
    <m/>
    <n v="0.94142999999999999"/>
    <n v="0.66556999999999999"/>
    <n v="0.41977999999999999"/>
    <n v="0.29677999999999999"/>
    <n v="2.5173800000000002"/>
    <x v="0"/>
  </r>
  <r>
    <x v="1"/>
    <x v="0"/>
    <n v="2"/>
    <n v="7.5609999999999999"/>
    <n v="4.8840000000000001E-2"/>
    <m/>
    <m/>
    <n v="1.3023199999999999"/>
    <n v="1.4022300000000001"/>
    <m/>
    <n v="0.94784000000000002"/>
    <n v="0.62877000000000005"/>
    <n v="0.14144999999999999"/>
    <n v="0.43630000000000002"/>
    <n v="2.70201"/>
    <x v="0"/>
  </r>
  <r>
    <x v="2"/>
    <x v="0"/>
    <n v="3"/>
    <n v="7.5270000000000001"/>
    <n v="3.3279999999999997E-2"/>
    <m/>
    <m/>
    <n v="1.32548"/>
    <n v="1.3605799999999999"/>
    <m/>
    <n v="0.87463999999999997"/>
    <n v="0.64937999999999996"/>
    <n v="0.48357"/>
    <n v="0.34139000000000003"/>
    <n v="2.4920399999999998"/>
    <x v="0"/>
  </r>
  <r>
    <x v="3"/>
    <x v="0"/>
    <n v="4"/>
    <n v="7.5220000000000002"/>
    <n v="3.8800000000000001E-2"/>
    <m/>
    <m/>
    <n v="1.4590000000000001"/>
    <n v="1.3309500000000001"/>
    <m/>
    <n v="0.88521000000000005"/>
    <n v="0.66973000000000005"/>
    <n v="0.36503000000000002"/>
    <n v="0.34699000000000002"/>
    <n v="2.4653100000000001"/>
    <x v="0"/>
  </r>
  <r>
    <x v="4"/>
    <x v="1"/>
    <n v="5"/>
    <n v="7.4269999999999996"/>
    <n v="3.5529999999999999E-2"/>
    <m/>
    <m/>
    <n v="1.32629"/>
    <n v="1.3226100000000001"/>
    <m/>
    <n v="0.90563000000000005"/>
    <n v="0.63297000000000003"/>
    <n v="0.32956999999999997"/>
    <n v="0.45811000000000002"/>
    <n v="2.4517600000000002"/>
    <x v="0"/>
  </r>
  <r>
    <x v="5"/>
    <x v="0"/>
    <n v="6"/>
    <n v="7.4059999999999997"/>
    <n v="3.1399999999999997E-2"/>
    <m/>
    <m/>
    <n v="1.2902499999999999"/>
    <n v="1.31826"/>
    <m/>
    <n v="0.88910999999999996"/>
    <n v="0.64168999999999998"/>
    <n v="0.41371999999999998"/>
    <n v="0.23351"/>
    <n v="2.6195499999999998"/>
    <x v="0"/>
  </r>
  <r>
    <x v="6"/>
    <x v="0"/>
    <n v="7"/>
    <n v="7.3780000000000001"/>
    <n v="2.7990000000000001E-2"/>
    <m/>
    <m/>
    <n v="1.32944"/>
    <n v="1.28017"/>
    <m/>
    <n v="0.89283999999999997"/>
    <n v="0.61575999999999997"/>
    <n v="0.31813999999999998"/>
    <n v="0.47610000000000002"/>
    <n v="2.4657"/>
    <x v="0"/>
  </r>
  <r>
    <x v="7"/>
    <x v="0"/>
    <n v="8"/>
    <n v="7.3639999999999999"/>
    <n v="3.1570000000000001E-2"/>
    <m/>
    <m/>
    <n v="1.3317099999999999"/>
    <n v="1.2890699999999999"/>
    <m/>
    <n v="0.91086999999999996"/>
    <n v="0.65980000000000005"/>
    <n v="0.43844"/>
    <n v="0.36262"/>
    <n v="2.3711899999999999"/>
    <x v="0"/>
  </r>
  <r>
    <x v="8"/>
    <x v="2"/>
    <n v="9"/>
    <n v="7.2859999999999996"/>
    <n v="3.3709999999999997E-2"/>
    <m/>
    <m/>
    <n v="1.2501800000000001"/>
    <n v="1.3196699999999999"/>
    <m/>
    <n v="0.90837000000000001"/>
    <n v="0.63937999999999995"/>
    <n v="0.42921999999999999"/>
    <n v="0.47500999999999999"/>
    <n v="2.2642500000000001"/>
    <x v="0"/>
  </r>
  <r>
    <x v="9"/>
    <x v="2"/>
    <n v="10"/>
    <n v="7.2839999999999998"/>
    <n v="4.0829999999999998E-2"/>
    <m/>
    <m/>
    <n v="1.33358"/>
    <n v="1.3092299999999999"/>
    <m/>
    <n v="0.93156000000000005"/>
    <n v="0.65124000000000004"/>
    <n v="0.35637000000000002"/>
    <n v="0.43562000000000001"/>
    <n v="2.2664599999999999"/>
    <x v="0"/>
  </r>
  <r>
    <x v="10"/>
    <x v="3"/>
    <n v="11"/>
    <n v="7.2779999999999996"/>
    <n v="3.4700000000000002E-2"/>
    <m/>
    <m/>
    <n v="1.2285699999999999"/>
    <n v="1.22393"/>
    <m/>
    <n v="0.91386999999999996"/>
    <n v="0.41319"/>
    <n v="7.7850000000000003E-2"/>
    <n v="0.33172000000000001"/>
    <n v="3.0885400000000001"/>
    <x v="0"/>
  </r>
  <r>
    <x v="11"/>
    <x v="4"/>
    <n v="12"/>
    <n v="7.226"/>
    <n v="4.4540000000000003E-2"/>
    <m/>
    <m/>
    <n v="0.95577999999999996"/>
    <n v="1.2378800000000001"/>
    <m/>
    <n v="0.86026999999999998"/>
    <n v="0.63375999999999999"/>
    <n v="0.10582999999999999"/>
    <n v="0.25496999999999997"/>
    <n v="3.1772800000000001"/>
    <x v="0"/>
  </r>
  <r>
    <x v="12"/>
    <x v="0"/>
    <n v="13"/>
    <n v="7.2"/>
    <n v="3.7510000000000002E-2"/>
    <m/>
    <m/>
    <n v="1.3372299999999999"/>
    <n v="1.29704"/>
    <m/>
    <n v="0.89041999999999999"/>
    <n v="0.62433000000000005"/>
    <n v="0.18676000000000001"/>
    <n v="0.33088000000000001"/>
    <n v="2.5331999999999999"/>
    <x v="0"/>
  </r>
  <r>
    <x v="13"/>
    <x v="4"/>
    <n v="14"/>
    <n v="7.1870000000000003"/>
    <n v="4.1759999999999999E-2"/>
    <m/>
    <m/>
    <n v="1.02054"/>
    <n v="0.91451000000000005"/>
    <m/>
    <n v="0.81444000000000005"/>
    <n v="0.48181000000000002"/>
    <n v="0.21312"/>
    <n v="0.14074"/>
    <n v="3.6021399999999999"/>
    <x v="0"/>
  </r>
  <r>
    <x v="14"/>
    <x v="1"/>
    <n v="15"/>
    <n v="7.1189999999999998"/>
    <n v="3.8390000000000001E-2"/>
    <m/>
    <m/>
    <n v="1.3945099999999999"/>
    <n v="1.2471099999999999"/>
    <m/>
    <n v="0.86178999999999994"/>
    <n v="0.54603999999999997"/>
    <n v="0.15890000000000001"/>
    <n v="0.40105000000000002"/>
    <n v="2.5101100000000001"/>
    <x v="0"/>
  </r>
  <r>
    <x v="15"/>
    <x v="4"/>
    <n v="16"/>
    <n v="6.9829999999999997"/>
    <n v="4.0759999999999998E-2"/>
    <m/>
    <m/>
    <n v="0.98124"/>
    <n v="1.2328699999999999"/>
    <m/>
    <n v="0.69701999999999997"/>
    <n v="0.49048999999999998"/>
    <n v="0.17521"/>
    <n v="0.14574000000000001"/>
    <n v="3.2600099999999999"/>
    <x v="0"/>
  </r>
  <r>
    <x v="16"/>
    <x v="0"/>
    <n v="17"/>
    <n v="6.9459999999999997"/>
    <n v="3.499E-2"/>
    <m/>
    <m/>
    <n v="1.5639099999999999"/>
    <n v="1.21963"/>
    <m/>
    <n v="0.91893999999999998"/>
    <n v="0.61582999999999999"/>
    <n v="0.37797999999999998"/>
    <n v="0.28033999999999998"/>
    <n v="1.9696100000000001"/>
    <x v="0"/>
  </r>
  <r>
    <x v="17"/>
    <x v="0"/>
    <n v="18"/>
    <n v="6.94"/>
    <n v="3.6760000000000001E-2"/>
    <m/>
    <m/>
    <n v="1.33596"/>
    <n v="1.36948"/>
    <m/>
    <n v="0.89532999999999996"/>
    <n v="0.61777000000000004"/>
    <n v="0.28703000000000001"/>
    <n v="0.45900999999999997"/>
    <n v="1.9757"/>
    <x v="0"/>
  </r>
  <r>
    <x v="18"/>
    <x v="0"/>
    <n v="19"/>
    <n v="6.9370000000000003"/>
    <n v="3.5950000000000003E-2"/>
    <m/>
    <m/>
    <n v="1.30782"/>
    <n v="1.28566"/>
    <m/>
    <n v="0.89666999999999997"/>
    <n v="0.58450000000000002"/>
    <n v="0.22539999999999999"/>
    <n v="0.2225"/>
    <n v="2.4148399999999999"/>
    <x v="0"/>
  </r>
  <r>
    <x v="19"/>
    <x v="3"/>
    <n v="20"/>
    <n v="6.9009999999999998"/>
    <n v="3.7289999999999997E-2"/>
    <m/>
    <m/>
    <n v="1.42727"/>
    <n v="1.12575"/>
    <m/>
    <n v="0.80925000000000002"/>
    <n v="0.64156999999999997"/>
    <n v="0.38583000000000001"/>
    <n v="0.26428000000000001"/>
    <n v="2.24743"/>
    <x v="0"/>
  </r>
  <r>
    <x v="20"/>
    <x v="0"/>
    <n v="21"/>
    <n v="6.867"/>
    <n v="1.866E-2"/>
    <m/>
    <m/>
    <n v="1.26637"/>
    <n v="1.28548"/>
    <m/>
    <n v="0.90942999999999996"/>
    <n v="0.59624999999999995"/>
    <n v="0.32067000000000001"/>
    <n v="0.51912000000000003"/>
    <n v="1.96994"/>
    <x v="0"/>
  </r>
  <r>
    <x v="21"/>
    <x v="3"/>
    <n v="22"/>
    <n v="6.8529999999999998"/>
    <n v="5.3350000000000002E-2"/>
    <m/>
    <m/>
    <n v="1.3601099999999999"/>
    <n v="1.08182"/>
    <m/>
    <n v="0.76275999999999999"/>
    <n v="0.63273999999999997"/>
    <n v="0.32523999999999997"/>
    <n v="0.21542"/>
    <n v="2.4748899999999998"/>
    <x v="0"/>
  </r>
  <r>
    <x v="22"/>
    <x v="4"/>
    <n v="23"/>
    <n v="6.81"/>
    <n v="6.4759999999999998E-2"/>
    <m/>
    <m/>
    <n v="1.0442400000000001"/>
    <n v="1.25596"/>
    <m/>
    <n v="0.72052000000000005"/>
    <n v="0.42908000000000002"/>
    <n v="0.11069"/>
    <n v="5.8409999999999997E-2"/>
    <n v="3.1913100000000001"/>
    <x v="0"/>
  </r>
  <r>
    <x v="23"/>
    <x v="5"/>
    <n v="24"/>
    <n v="6.798"/>
    <n v="3.78E-2"/>
    <m/>
    <m/>
    <n v="1.52186"/>
    <n v="1.02"/>
    <m/>
    <n v="1.02525"/>
    <n v="0.54252"/>
    <n v="0.49209999999999998"/>
    <n v="0.31104999999999999"/>
    <n v="1.8850100000000001"/>
    <x v="0"/>
  </r>
  <r>
    <x v="24"/>
    <x v="4"/>
    <n v="25"/>
    <n v="6.7859999999999996"/>
    <n v="4.9099999999999998E-2"/>
    <m/>
    <m/>
    <n v="1.0635300000000001"/>
    <n v="1.1984999999999999"/>
    <m/>
    <n v="0.79661000000000004"/>
    <n v="0.54210000000000003"/>
    <n v="9.2700000000000005E-2"/>
    <n v="0.24434"/>
    <n v="2.8484799999999999"/>
    <x v="0"/>
  </r>
  <r>
    <x v="25"/>
    <x v="0"/>
    <n v="26"/>
    <n v="6.75"/>
    <n v="1.848E-2"/>
    <m/>
    <m/>
    <n v="1.32792"/>
    <n v="1.2993699999999999"/>
    <m/>
    <n v="0.89185999999999999"/>
    <n v="0.61477000000000004"/>
    <n v="0.21843000000000001"/>
    <n v="0.28214"/>
    <n v="2.1156899999999998"/>
    <x v="0"/>
  </r>
  <r>
    <x v="26"/>
    <x v="4"/>
    <n v="27"/>
    <n v="6.67"/>
    <n v="5.8000000000000003E-2"/>
    <m/>
    <m/>
    <n v="1.1071500000000001"/>
    <n v="1.1244700000000001"/>
    <m/>
    <n v="0.85857000000000006"/>
    <n v="0.44131999999999999"/>
    <n v="0.12869"/>
    <n v="0.33362999999999998"/>
    <n v="2.6758500000000001"/>
    <x v="0"/>
  </r>
  <r>
    <x v="27"/>
    <x v="3"/>
    <n v="28"/>
    <n v="6.6109999999999998"/>
    <n v="6.2570000000000001E-2"/>
    <m/>
    <m/>
    <n v="1.69042"/>
    <n v="1.0786"/>
    <m/>
    <n v="0.79732999999999998"/>
    <n v="0.64039999999999997"/>
    <n v="0.52207999999999999"/>
    <n v="0.32573000000000002"/>
    <n v="1.55674"/>
    <x v="0"/>
  </r>
  <r>
    <x v="28"/>
    <x v="0"/>
    <n v="29"/>
    <n v="6.5750000000000002"/>
    <n v="3.5119999999999998E-2"/>
    <m/>
    <m/>
    <n v="1.2777799999999999"/>
    <n v="1.2603800000000001"/>
    <m/>
    <n v="0.94579000000000002"/>
    <n v="0.55010999999999999"/>
    <n v="0.20646"/>
    <n v="0.12332"/>
    <n v="2.2112599999999998"/>
    <x v="0"/>
  </r>
  <r>
    <x v="29"/>
    <x v="4"/>
    <n v="30"/>
    <n v="6.5739999999999998"/>
    <n v="4.6120000000000001E-2"/>
    <m/>
    <m/>
    <n v="1.0535099999999999"/>
    <n v="1.24823"/>
    <m/>
    <n v="0.78722999999999999"/>
    <n v="0.44973999999999997"/>
    <n v="8.4839999999999999E-2"/>
    <n v="0.11451"/>
    <n v="2.8359999999999999"/>
    <x v="0"/>
  </r>
  <r>
    <x v="30"/>
    <x v="6"/>
    <n v="31"/>
    <n v="6.5049999999999999"/>
    <n v="4.1680000000000002E-2"/>
    <m/>
    <m/>
    <n v="1.1789799999999999"/>
    <n v="1.2064299999999999"/>
    <m/>
    <n v="0.84482999999999997"/>
    <n v="0.46364"/>
    <n v="2.6519999999999998E-2"/>
    <n v="0.10686"/>
    <n v="2.6778200000000001"/>
    <x v="0"/>
  </r>
  <r>
    <x v="31"/>
    <x v="4"/>
    <n v="32"/>
    <n v="6.4850000000000003"/>
    <n v="4.539E-2"/>
    <m/>
    <m/>
    <n v="1.06166"/>
    <n v="1.2089000000000001"/>
    <m/>
    <n v="0.81159999999999999"/>
    <n v="0.60362000000000005"/>
    <n v="0.24557999999999999"/>
    <n v="0.2324"/>
    <n v="2.3214199999999998"/>
    <x v="0"/>
  </r>
  <r>
    <x v="32"/>
    <x v="4"/>
    <n v="33"/>
    <n v="6.4770000000000003"/>
    <n v="5.0509999999999999E-2"/>
    <m/>
    <m/>
    <n v="0.91861000000000004"/>
    <n v="1.2401800000000001"/>
    <m/>
    <n v="0.69077"/>
    <n v="0.53466000000000002"/>
    <n v="5.1200000000000002E-2"/>
    <n v="0.18401000000000001"/>
    <n v="2.85737"/>
    <x v="0"/>
  </r>
  <r>
    <x v="33"/>
    <x v="5"/>
    <n v="34"/>
    <n v="6.4550000000000001"/>
    <n v="3.5569999999999997E-2"/>
    <m/>
    <m/>
    <n v="0.96689999999999998"/>
    <n v="1.2650399999999999"/>
    <m/>
    <n v="0.73850000000000005"/>
    <n v="0.55664000000000002"/>
    <n v="3.1870000000000002E-2"/>
    <n v="0.57630000000000003"/>
    <n v="2.3194499999999998"/>
    <x v="0"/>
  </r>
  <r>
    <x v="34"/>
    <x v="3"/>
    <n v="35"/>
    <n v="6.4109999999999996"/>
    <n v="4.6330000000000003E-2"/>
    <m/>
    <m/>
    <n v="1.39541"/>
    <n v="1.0839300000000001"/>
    <m/>
    <n v="0.72024999999999995"/>
    <n v="0.31047999999999998"/>
    <n v="0.32523999999999997"/>
    <n v="0.13705999999999999"/>
    <n v="2.43872"/>
    <x v="0"/>
  </r>
  <r>
    <x v="35"/>
    <x v="0"/>
    <n v="36"/>
    <n v="6.3289999999999997"/>
    <n v="3.4680000000000002E-2"/>
    <m/>
    <m/>
    <n v="1.23011"/>
    <n v="1.31379"/>
    <m/>
    <n v="0.95562000000000002"/>
    <n v="0.45950999999999997"/>
    <n v="6.3979999999999995E-2"/>
    <n v="0.18226999999999999"/>
    <n v="2.1236700000000002"/>
    <x v="0"/>
  </r>
  <r>
    <x v="36"/>
    <x v="0"/>
    <n v="37"/>
    <n v="6.3019999999999996"/>
    <n v="4.206E-2"/>
    <m/>
    <m/>
    <n v="1.2074"/>
    <n v="1.30203"/>
    <m/>
    <n v="0.88721000000000005"/>
    <n v="0.60365000000000002"/>
    <n v="0.13586000000000001"/>
    <n v="0.51751999999999998"/>
    <n v="1.6488"/>
    <x v="0"/>
  </r>
  <r>
    <x v="37"/>
    <x v="7"/>
    <n v="38"/>
    <n v="6.298"/>
    <n v="3.8679999999999999E-2"/>
    <m/>
    <m/>
    <n v="1.29098"/>
    <n v="1.0761700000000001"/>
    <m/>
    <n v="0.87529999999999997"/>
    <n v="0.39739999999999998"/>
    <n v="8.1290000000000001E-2"/>
    <n v="0.25375999999999999"/>
    <n v="2.3232300000000001"/>
    <x v="0"/>
  </r>
  <r>
    <x v="38"/>
    <x v="3"/>
    <n v="39"/>
    <n v="6.2949999999999999"/>
    <n v="4.4560000000000002E-2"/>
    <m/>
    <m/>
    <n v="1.5542199999999999"/>
    <n v="1.16594"/>
    <m/>
    <n v="0.72492000000000001"/>
    <n v="0.55498999999999998"/>
    <n v="0.25608999999999998"/>
    <n v="0.16228000000000001"/>
    <n v="1.8763399999999999"/>
    <x v="0"/>
  </r>
  <r>
    <x v="39"/>
    <x v="4"/>
    <n v="40"/>
    <n v="6.2690000000000001"/>
    <n v="9.8110000000000003E-2"/>
    <m/>
    <m/>
    <n v="0.99534"/>
    <n v="0.97199999999999998"/>
    <m/>
    <n v="0.60819999999999996"/>
    <n v="0.59657000000000004"/>
    <n v="0.13633000000000001"/>
    <n v="0.16991000000000001"/>
    <n v="2.79094"/>
    <x v="0"/>
  </r>
  <r>
    <x v="40"/>
    <x v="4"/>
    <n v="41"/>
    <n v="6.1680000000000001"/>
    <n v="0.10895000000000001"/>
    <m/>
    <m/>
    <n v="1.21183"/>
    <n v="1.18354"/>
    <m/>
    <n v="0.61482999999999999"/>
    <n v="0.55884"/>
    <n v="1.14E-2"/>
    <n v="0.31844"/>
    <n v="2.2688199999999998"/>
    <x v="0"/>
  </r>
  <r>
    <x v="41"/>
    <x v="4"/>
    <n v="42"/>
    <n v="6.13"/>
    <n v="5.6180000000000001E-2"/>
    <m/>
    <m/>
    <n v="0.76454"/>
    <n v="1.0250699999999999"/>
    <m/>
    <n v="0.67737000000000003"/>
    <n v="0.40350000000000003"/>
    <n v="0.11776"/>
    <n v="0.10692"/>
    <n v="3.0350000000000001"/>
    <x v="0"/>
  </r>
  <r>
    <x v="42"/>
    <x v="4"/>
    <n v="43"/>
    <n v="6.1230000000000002"/>
    <n v="5.2240000000000002E-2"/>
    <m/>
    <m/>
    <n v="0.74553000000000003"/>
    <n v="1.04356"/>
    <m/>
    <n v="0.64424999999999999"/>
    <n v="0.57733000000000001"/>
    <n v="9.4719999999999999E-2"/>
    <n v="0.27489000000000002"/>
    <n v="2.74255"/>
    <x v="0"/>
  </r>
  <r>
    <x v="43"/>
    <x v="6"/>
    <n v="44"/>
    <n v="6.0030000000000001"/>
    <n v="4.3610000000000003E-2"/>
    <m/>
    <m/>
    <n v="0.63244"/>
    <n v="1.34043"/>
    <m/>
    <n v="0.59772000000000003"/>
    <n v="0.65820999999999996"/>
    <n v="0.30825999999999998"/>
    <n v="0.22836999999999999"/>
    <n v="2.2374100000000001"/>
    <x v="0"/>
  </r>
  <r>
    <x v="44"/>
    <x v="6"/>
    <n v="45"/>
    <n v="5.9950000000000001"/>
    <n v="4.267E-2"/>
    <m/>
    <m/>
    <n v="1.1689099999999999"/>
    <n v="1.26999"/>
    <m/>
    <n v="0.78902000000000005"/>
    <n v="0.31751000000000001"/>
    <n v="3.431E-2"/>
    <n v="0.16893"/>
    <n v="2.2463899999999999"/>
    <x v="0"/>
  </r>
  <r>
    <x v="45"/>
    <x v="7"/>
    <n v="46"/>
    <n v="5.9870000000000001"/>
    <n v="3.5810000000000002E-2"/>
    <m/>
    <m/>
    <n v="1.27074"/>
    <n v="1.25712"/>
    <m/>
    <n v="0.99111000000000005"/>
    <n v="0.49614999999999998"/>
    <n v="0.18060000000000001"/>
    <n v="0.10705000000000001"/>
    <n v="1.68435"/>
    <x v="0"/>
  </r>
  <r>
    <x v="46"/>
    <x v="7"/>
    <n v="47"/>
    <n v="5.984"/>
    <n v="4.0980000000000003E-2"/>
    <m/>
    <m/>
    <n v="1.24461"/>
    <n v="0.95774000000000004"/>
    <m/>
    <n v="0.96538000000000002"/>
    <n v="0.33207999999999999"/>
    <n v="7.8570000000000001E-2"/>
    <n v="0.18557000000000001"/>
    <n v="2.2197800000000001"/>
    <x v="0"/>
  </r>
  <r>
    <x v="47"/>
    <x v="4"/>
    <n v="48"/>
    <n v="5.9749999999999996"/>
    <n v="4.5280000000000001E-2"/>
    <m/>
    <m/>
    <n v="0.86402000000000001"/>
    <n v="0.99902999999999997"/>
    <m/>
    <n v="0.79074999999999995"/>
    <n v="0.48574000000000001"/>
    <n v="0.18090000000000001"/>
    <n v="0.11541"/>
    <n v="2.5394199999999998"/>
    <x v="0"/>
  </r>
  <r>
    <x v="48"/>
    <x v="3"/>
    <n v="49"/>
    <n v="5.96"/>
    <n v="5.4120000000000001E-2"/>
    <m/>
    <m/>
    <n v="1.32376"/>
    <n v="1.21624"/>
    <m/>
    <n v="0.74716000000000005"/>
    <n v="0.45491999999999999"/>
    <n v="0.30599999999999999"/>
    <n v="0.17362"/>
    <n v="1.73797"/>
    <x v="0"/>
  </r>
  <r>
    <x v="49"/>
    <x v="0"/>
    <n v="50"/>
    <n v="5.9480000000000004"/>
    <n v="3.9140000000000001E-2"/>
    <m/>
    <m/>
    <n v="1.2511399999999999"/>
    <n v="1.19777"/>
    <m/>
    <n v="0.95445999999999998"/>
    <n v="0.26235999999999998"/>
    <n v="2.9010000000000001E-2"/>
    <n v="0.22822999999999999"/>
    <n v="2.0251800000000002"/>
    <x v="0"/>
  </r>
  <r>
    <x v="50"/>
    <x v="4"/>
    <n v="51"/>
    <n v="5.89"/>
    <n v="5.6419999999999998E-2"/>
    <m/>
    <m/>
    <n v="0.68132999999999999"/>
    <n v="0.97841"/>
    <m/>
    <n v="0.53920000000000001"/>
    <n v="0.57413999999999998"/>
    <n v="8.7999999999999995E-2"/>
    <n v="0.20535999999999999"/>
    <n v="2.82334"/>
    <x v="0"/>
  </r>
  <r>
    <x v="51"/>
    <x v="6"/>
    <n v="52"/>
    <n v="5.8890000000000002"/>
    <n v="3.7990000000000003E-2"/>
    <m/>
    <m/>
    <n v="0.59448000000000001"/>
    <n v="1.01528"/>
    <m/>
    <n v="0.61826000000000003"/>
    <n v="0.32818000000000003"/>
    <n v="1.6150000000000001E-2"/>
    <n v="0.20951"/>
    <n v="3.1071200000000001"/>
    <x v="0"/>
  </r>
  <r>
    <x v="52"/>
    <x v="4"/>
    <n v="53"/>
    <n v="5.8780000000000001"/>
    <n v="4.5629999999999997E-2"/>
    <m/>
    <m/>
    <n v="0.75985000000000003"/>
    <n v="1.30477"/>
    <m/>
    <n v="0.66098000000000001"/>
    <n v="0.53898999999999997"/>
    <n v="8.2419999999999993E-2"/>
    <n v="0.34239999999999998"/>
    <n v="2.1889599999999998"/>
    <x v="0"/>
  </r>
  <r>
    <x v="53"/>
    <x v="6"/>
    <n v="54"/>
    <n v="5.8550000000000004"/>
    <n v="4.1140000000000003E-2"/>
    <m/>
    <m/>
    <n v="1.1225400000000001"/>
    <n v="1.1224099999999999"/>
    <m/>
    <n v="0.64368000000000003"/>
    <n v="0.51649"/>
    <n v="8.4540000000000004E-2"/>
    <n v="0.11827"/>
    <n v="2.24729"/>
    <x v="0"/>
  </r>
  <r>
    <x v="54"/>
    <x v="6"/>
    <n v="55"/>
    <n v="5.8479999999999999"/>
    <n v="4.2509999999999999E-2"/>
    <m/>
    <m/>
    <n v="1.1849799999999999"/>
    <n v="1.2738499999999999"/>
    <m/>
    <n v="0.87336999999999998"/>
    <n v="0.60855000000000004"/>
    <n v="3.7870000000000001E-2"/>
    <n v="0.25328000000000001"/>
    <n v="1.6158300000000001"/>
    <x v="0"/>
  </r>
  <r>
    <x v="55"/>
    <x v="6"/>
    <n v="56"/>
    <n v="5.8330000000000002"/>
    <n v="3.8429999999999999E-2"/>
    <m/>
    <m/>
    <n v="1.14723"/>
    <n v="1.25745"/>
    <m/>
    <n v="0.73128000000000004"/>
    <n v="0.21342"/>
    <n v="1.031E-2"/>
    <n v="2.6409999999999999E-2"/>
    <n v="2.4464899999999998"/>
    <x v="0"/>
  </r>
  <r>
    <x v="56"/>
    <x v="4"/>
    <n v="57"/>
    <n v="5.8280000000000003"/>
    <n v="5.3710000000000001E-2"/>
    <m/>
    <m/>
    <n v="0.59325000000000006"/>
    <n v="1.14184"/>
    <m/>
    <n v="0.74314000000000002"/>
    <n v="0.55474999999999997"/>
    <n v="0.19317000000000001"/>
    <n v="0.27815000000000001"/>
    <n v="2.3240699999999999"/>
    <x v="0"/>
  </r>
  <r>
    <x v="57"/>
    <x v="4"/>
    <n v="58"/>
    <n v="5.8239999999999998"/>
    <n v="4.6149999999999997E-2"/>
    <m/>
    <m/>
    <n v="0.90019000000000005"/>
    <n v="0.97458999999999996"/>
    <m/>
    <n v="0.73016999999999999"/>
    <n v="0.41496"/>
    <n v="5.9889999999999999E-2"/>
    <n v="0.14982000000000001"/>
    <n v="2.5945"/>
    <x v="0"/>
  </r>
  <r>
    <x v="58"/>
    <x v="6"/>
    <n v="59"/>
    <n v="5.8129999999999997"/>
    <n v="3.9379999999999998E-2"/>
    <m/>
    <m/>
    <n v="1.0319199999999999"/>
    <n v="1.23289"/>
    <m/>
    <n v="0.73607999999999996"/>
    <n v="0.37938"/>
    <n v="0.19089999999999999"/>
    <n v="0.11046"/>
    <n v="2.1309"/>
    <x v="0"/>
  </r>
  <r>
    <x v="59"/>
    <x v="6"/>
    <n v="60"/>
    <n v="5.7910000000000004"/>
    <n v="4.2630000000000001E-2"/>
    <m/>
    <m/>
    <n v="1.1255500000000001"/>
    <n v="1.27948"/>
    <m/>
    <n v="0.77903"/>
    <n v="0.53122000000000003"/>
    <n v="4.2119999999999998E-2"/>
    <n v="0.16758999999999999"/>
    <n v="1.86565"/>
    <x v="0"/>
  </r>
  <r>
    <x v="60"/>
    <x v="5"/>
    <n v="61"/>
    <n v="5.77"/>
    <n v="4.3299999999999998E-2"/>
    <m/>
    <m/>
    <n v="1.12486"/>
    <n v="1.07023"/>
    <m/>
    <n v="0.72394000000000003"/>
    <n v="0.53024000000000004"/>
    <n v="0.10501000000000001"/>
    <n v="0.33074999999999999"/>
    <n v="1.88541"/>
    <x v="0"/>
  </r>
  <r>
    <x v="61"/>
    <x v="6"/>
    <n v="62"/>
    <n v="5.7590000000000003"/>
    <n v="4.394E-2"/>
    <m/>
    <m/>
    <n v="1.0825400000000001"/>
    <n v="0.79623999999999995"/>
    <m/>
    <n v="0.78805000000000003"/>
    <n v="0.25883"/>
    <n v="2.4299999999999999E-2"/>
    <n v="5.4440000000000002E-2"/>
    <n v="2.75414"/>
    <x v="0"/>
  </r>
  <r>
    <x v="62"/>
    <x v="3"/>
    <n v="63"/>
    <n v="5.7539999999999996"/>
    <n v="7.8320000000000001E-2"/>
    <m/>
    <m/>
    <n v="1.1314500000000001"/>
    <n v="1.1186199999999999"/>
    <m/>
    <n v="0.70379999999999998"/>
    <n v="0.41667999999999999"/>
    <n v="0.11022999999999999"/>
    <n v="0.18295"/>
    <n v="2.0906600000000002"/>
    <x v="0"/>
  </r>
  <r>
    <x v="63"/>
    <x v="6"/>
    <n v="64"/>
    <n v="5.7160000000000002"/>
    <n v="3.1350000000000003E-2"/>
    <m/>
    <m/>
    <n v="1.13764"/>
    <n v="1.23617"/>
    <m/>
    <n v="0.66925999999999997"/>
    <n v="0.36679"/>
    <n v="3.005E-2"/>
    <n v="1.99E-3"/>
    <n v="2.2739400000000001"/>
    <x v="0"/>
  </r>
  <r>
    <x v="64"/>
    <x v="4"/>
    <n v="65"/>
    <n v="5.7089999999999996"/>
    <n v="0.13693"/>
    <m/>
    <m/>
    <n v="0.81037999999999999"/>
    <n v="1.1510199999999999"/>
    <m/>
    <n v="0.68740999999999997"/>
    <n v="0.50441999999999998"/>
    <n v="2.299E-2"/>
    <n v="0.21229999999999999"/>
    <n v="2.3203800000000001"/>
    <x v="0"/>
  </r>
  <r>
    <x v="65"/>
    <x v="0"/>
    <n v="66"/>
    <n v="5.6950000000000003"/>
    <n v="5.6349999999999997E-2"/>
    <m/>
    <m/>
    <n v="1.2080599999999999"/>
    <n v="1.0700799999999999"/>
    <m/>
    <n v="0.92356000000000005"/>
    <n v="0.49026999999999998"/>
    <n v="0.14280000000000001"/>
    <n v="0.26168999999999998"/>
    <n v="1.5988800000000001"/>
    <x v="0"/>
  </r>
  <r>
    <x v="66"/>
    <x v="0"/>
    <n v="67"/>
    <n v="5.6890000000000001"/>
    <n v="5.5800000000000002E-2"/>
    <m/>
    <m/>
    <n v="1.2081299999999999"/>
    <n v="0.89317999999999997"/>
    <m/>
    <n v="0.92356000000000005"/>
    <n v="0.40672000000000003"/>
    <n v="6.1460000000000001E-2"/>
    <n v="0.30637999999999999"/>
    <n v="1.88931"/>
    <x v="0"/>
  </r>
  <r>
    <x v="67"/>
    <x v="3"/>
    <n v="68"/>
    <n v="5.6050000000000004"/>
    <n v="5.0990000000000001E-2"/>
    <m/>
    <m/>
    <n v="0.93928999999999996"/>
    <n v="1.07772"/>
    <m/>
    <n v="0.61765999999999999"/>
    <n v="0.28578999999999999"/>
    <n v="0.17383000000000001"/>
    <n v="7.8219999999999998E-2"/>
    <n v="2.4320900000000001"/>
    <x v="0"/>
  </r>
  <r>
    <x v="68"/>
    <x v="6"/>
    <n v="69"/>
    <n v="5.5890000000000004"/>
    <n v="5.0180000000000002E-2"/>
    <m/>
    <m/>
    <n v="0.80147999999999997"/>
    <n v="0.81198000000000004"/>
    <m/>
    <n v="0.63131999999999999"/>
    <n v="0.24748999999999999"/>
    <n v="4.7410000000000001E-2"/>
    <n v="0.28310000000000002"/>
    <n v="2.76579"/>
    <x v="0"/>
  </r>
  <r>
    <x v="69"/>
    <x v="6"/>
    <n v="70"/>
    <n v="5.548"/>
    <n v="4.1750000000000002E-2"/>
    <m/>
    <m/>
    <n v="0.95847000000000004"/>
    <n v="1.22668"/>
    <m/>
    <n v="0.53886000000000001"/>
    <n v="0.47610000000000002"/>
    <n v="0.30843999999999999"/>
    <n v="0.16979"/>
    <n v="1.8698399999999999"/>
    <x v="0"/>
  </r>
  <r>
    <x v="70"/>
    <x v="8"/>
    <n v="71"/>
    <n v="5.4770000000000003"/>
    <n v="7.1970000000000006E-2"/>
    <m/>
    <m/>
    <n v="1.0076099999999999"/>
    <n v="0.98521000000000003"/>
    <m/>
    <n v="0.70950000000000002"/>
    <n v="0.56066000000000005"/>
    <n v="7.5209999999999999E-2"/>
    <n v="0.37744"/>
    <n v="1.76145"/>
    <x v="0"/>
  </r>
  <r>
    <x v="71"/>
    <x v="7"/>
    <n v="72"/>
    <n v="5.4740000000000002"/>
    <n v="5.0509999999999999E-2"/>
    <m/>
    <m/>
    <n v="1.3860399999999999"/>
    <n v="1.0581799999999999"/>
    <m/>
    <n v="1.01328"/>
    <n v="0.59608000000000005"/>
    <n v="0.37124000000000001"/>
    <n v="0.39478000000000002"/>
    <n v="0.65429000000000004"/>
    <x v="0"/>
  </r>
  <r>
    <x v="72"/>
    <x v="6"/>
    <n v="73"/>
    <n v="5.4290000000000003"/>
    <n v="4.0129999999999999E-2"/>
    <m/>
    <m/>
    <n v="1.15174"/>
    <n v="1.2279100000000001"/>
    <m/>
    <n v="0.77361000000000002"/>
    <n v="0.44888"/>
    <n v="0.15184"/>
    <n v="8.6800000000000002E-2"/>
    <n v="1.58782"/>
    <x v="0"/>
  </r>
  <r>
    <x v="73"/>
    <x v="5"/>
    <n v="74"/>
    <n v="5.399"/>
    <n v="2.596E-2"/>
    <m/>
    <m/>
    <n v="0.82826999999999995"/>
    <n v="1.08708"/>
    <m/>
    <n v="0.63793"/>
    <n v="0.46611000000000002"/>
    <n v="0"/>
    <n v="0.51534999999999997"/>
    <n v="1.86399"/>
    <x v="0"/>
  </r>
  <r>
    <x v="74"/>
    <x v="5"/>
    <n v="75"/>
    <n v="5.36"/>
    <n v="3.107E-2"/>
    <m/>
    <m/>
    <n v="0.63216000000000006"/>
    <n v="0.91225999999999996"/>
    <m/>
    <n v="0.74675999999999998"/>
    <n v="0.59443999999999997"/>
    <n v="0.10441"/>
    <n v="0.1686"/>
    <n v="2.20173"/>
    <x v="0"/>
  </r>
  <r>
    <x v="75"/>
    <x v="3"/>
    <n v="76"/>
    <n v="5.3319999999999999"/>
    <n v="3.8640000000000001E-2"/>
    <m/>
    <m/>
    <n v="1.06098"/>
    <n v="0.94632000000000005"/>
    <m/>
    <n v="0.73172000000000004"/>
    <n v="0.22814999999999999"/>
    <n v="0.15745999999999999"/>
    <n v="0.12253"/>
    <n v="2.08528"/>
    <x v="0"/>
  </r>
  <r>
    <x v="76"/>
    <x v="6"/>
    <n v="77"/>
    <n v="5.2859999999999996"/>
    <n v="3.823E-2"/>
    <m/>
    <m/>
    <n v="0.47427999999999998"/>
    <n v="1.1511499999999999"/>
    <m/>
    <n v="0.65088000000000001"/>
    <n v="0.43476999999999999"/>
    <n v="4.2320000000000003E-2"/>
    <n v="0.30030000000000001"/>
    <n v="2.2326999999999999"/>
    <x v="0"/>
  </r>
  <r>
    <x v="77"/>
    <x v="8"/>
    <n v="78"/>
    <n v="5.2679999999999998"/>
    <n v="4.1919999999999999E-2"/>
    <m/>
    <m/>
    <n v="0.65434999999999999"/>
    <n v="0.90432000000000001"/>
    <m/>
    <n v="0.16006999999999999"/>
    <n v="0.34333999999999998"/>
    <n v="4.0300000000000002E-2"/>
    <n v="0.27233000000000002"/>
    <n v="2.8931900000000002"/>
    <x v="0"/>
  </r>
  <r>
    <x v="78"/>
    <x v="9"/>
    <n v="79"/>
    <n v="5.2530000000000001"/>
    <n v="3.2250000000000001E-2"/>
    <m/>
    <m/>
    <n v="0.77041999999999999"/>
    <n v="1.10395"/>
    <m/>
    <n v="0.57406999999999997"/>
    <n v="0.53205999999999998"/>
    <n v="0.15445"/>
    <n v="0.47998000000000002"/>
    <n v="1.63794"/>
    <x v="0"/>
  </r>
  <r>
    <x v="79"/>
    <x v="6"/>
    <n v="80"/>
    <n v="5.2119999999999997"/>
    <n v="3.363E-2"/>
    <m/>
    <m/>
    <n v="1.02389"/>
    <n v="0.93793000000000004"/>
    <m/>
    <n v="0.64044999999999996"/>
    <n v="0.37030000000000002"/>
    <n v="0.16064999999999999"/>
    <n v="7.7990000000000004E-2"/>
    <n v="2.0007299999999999"/>
    <x v="0"/>
  </r>
  <r>
    <x v="80"/>
    <x v="9"/>
    <n v="81"/>
    <n v="5.194"/>
    <n v="3.7260000000000001E-2"/>
    <m/>
    <m/>
    <n v="0.59543000000000001"/>
    <n v="0.41410999999999998"/>
    <m/>
    <n v="0.51466000000000001"/>
    <n v="0.12102"/>
    <n v="0.10464"/>
    <n v="0.33671000000000001"/>
    <n v="3.1070899999999999"/>
    <x v="0"/>
  </r>
  <r>
    <x v="81"/>
    <x v="3"/>
    <n v="82"/>
    <n v="5.1920000000000002"/>
    <n v="4.5240000000000002E-2"/>
    <m/>
    <m/>
    <n v="0.90198"/>
    <n v="1.05392"/>
    <m/>
    <n v="0.69638999999999995"/>
    <n v="0.40661000000000003"/>
    <n v="0.14293"/>
    <n v="0.11053"/>
    <n v="1.8799600000000001"/>
    <x v="0"/>
  </r>
  <r>
    <x v="82"/>
    <x v="6"/>
    <n v="82"/>
    <n v="5.1920000000000002"/>
    <n v="5.2350000000000001E-2"/>
    <m/>
    <m/>
    <n v="0.97438000000000002"/>
    <n v="0.90556999999999999"/>
    <m/>
    <n v="0.72521000000000002"/>
    <n v="0.18260000000000001"/>
    <n v="0.14296"/>
    <n v="0.16139999999999999"/>
    <n v="2.1001699999999999"/>
    <x v="0"/>
  </r>
  <r>
    <x v="83"/>
    <x v="7"/>
    <n v="84"/>
    <n v="5.14"/>
    <n v="2.4240000000000001E-2"/>
    <m/>
    <m/>
    <n v="0.89012000000000002"/>
    <n v="0.94674999999999998"/>
    <m/>
    <n v="0.81657999999999997"/>
    <n v="0.51697000000000004"/>
    <n v="2.7810000000000001E-2"/>
    <n v="8.1850000000000006E-2"/>
    <n v="1.8604000000000001"/>
    <x v="0"/>
  </r>
  <r>
    <x v="84"/>
    <x v="8"/>
    <n v="85"/>
    <n v="5.1289999999999996"/>
    <n v="6.9879999999999998E-2"/>
    <m/>
    <m/>
    <n v="0.47038000000000002"/>
    <n v="0.91612000000000005"/>
    <m/>
    <n v="0.29924000000000001"/>
    <n v="0.48826999999999998"/>
    <n v="0.12468"/>
    <n v="0.19591"/>
    <n v="2.6343000000000001"/>
    <x v="0"/>
  </r>
  <r>
    <x v="85"/>
    <x v="6"/>
    <n v="86"/>
    <n v="5.1239999999999997"/>
    <n v="6.6070000000000004E-2"/>
    <m/>
    <m/>
    <n v="1.04345"/>
    <n v="0.88588"/>
    <m/>
    <n v="0.76890000000000003"/>
    <n v="0.35067999999999999"/>
    <n v="6.4900000000000001E-3"/>
    <n v="0.13747999999999999"/>
    <n v="1.93129"/>
    <x v="0"/>
  </r>
  <r>
    <x v="86"/>
    <x v="6"/>
    <n v="87"/>
    <n v="5.1230000000000002"/>
    <n v="4.8640000000000003E-2"/>
    <m/>
    <m/>
    <n v="0.92052999999999996"/>
    <n v="1.0096400000000001"/>
    <m/>
    <n v="0.74836000000000003"/>
    <n v="0.20107"/>
    <n v="2.6169999999999999E-2"/>
    <n v="0.19231000000000001"/>
    <n v="2.0249999999999999"/>
    <x v="0"/>
  </r>
  <r>
    <x v="87"/>
    <x v="0"/>
    <n v="88"/>
    <n v="5.1020000000000003"/>
    <n v="4.802E-2"/>
    <m/>
    <m/>
    <n v="1.15991"/>
    <n v="1.1393500000000001"/>
    <m/>
    <n v="0.87519000000000002"/>
    <n v="0.51468999999999998"/>
    <n v="1.078E-2"/>
    <n v="0.13719000000000001"/>
    <n v="1.2646200000000001"/>
    <x v="0"/>
  </r>
  <r>
    <x v="88"/>
    <x v="6"/>
    <n v="89"/>
    <n v="5.0979999999999999"/>
    <n v="4.6399999999999997E-2"/>
    <m/>
    <m/>
    <n v="1.1131200000000001"/>
    <n v="1.09562"/>
    <m/>
    <n v="0.72436999999999996"/>
    <n v="0.29670999999999997"/>
    <n v="6.3320000000000001E-2"/>
    <n v="0.18226000000000001"/>
    <n v="1.62215"/>
    <x v="0"/>
  </r>
  <r>
    <x v="89"/>
    <x v="5"/>
    <n v="90"/>
    <n v="5.0730000000000004"/>
    <n v="4.9340000000000002E-2"/>
    <m/>
    <m/>
    <n v="0.70531999999999995"/>
    <n v="1.0351600000000001"/>
    <m/>
    <n v="0.58113999999999999"/>
    <n v="0.62544999999999995"/>
    <n v="0.12279"/>
    <n v="0.24990999999999999"/>
    <n v="1.7536"/>
    <x v="0"/>
  </r>
  <r>
    <x v="90"/>
    <x v="8"/>
    <n v="91"/>
    <n v="5.0570000000000004"/>
    <n v="6.1609999999999998E-2"/>
    <m/>
    <m/>
    <n v="0.18847"/>
    <n v="0.95152000000000003"/>
    <m/>
    <n v="0.43873000000000001"/>
    <n v="0.46582000000000001"/>
    <n v="0.39928000000000002"/>
    <n v="0.50317999999999996"/>
    <n v="2.1103200000000002"/>
    <x v="0"/>
  </r>
  <r>
    <x v="91"/>
    <x v="3"/>
    <n v="92"/>
    <n v="5.0129999999999999"/>
    <n v="3.4200000000000001E-2"/>
    <m/>
    <m/>
    <n v="0.73479000000000005"/>
    <n v="0.64095000000000002"/>
    <m/>
    <n v="0.60953999999999997"/>
    <n v="0.41691"/>
    <n v="8.5459999999999994E-2"/>
    <n v="7.1720000000000006E-2"/>
    <n v="2.4537300000000002"/>
    <x v="0"/>
  </r>
  <r>
    <x v="92"/>
    <x v="6"/>
    <n v="93"/>
    <n v="5.0069999999999997"/>
    <n v="5.3760000000000002E-2"/>
    <m/>
    <m/>
    <n v="0.91851000000000005"/>
    <n v="1.0023200000000001"/>
    <m/>
    <n v="0.73545000000000005"/>
    <n v="0.33456999999999998"/>
    <n v="5.3269999999999998E-2"/>
    <n v="0.22359000000000001"/>
    <n v="1.73933"/>
    <x v="0"/>
  </r>
  <r>
    <x v="93"/>
    <x v="8"/>
    <n v="94"/>
    <n v="4.9710000000000001"/>
    <n v="7.8960000000000002E-2"/>
    <m/>
    <m/>
    <n v="8.3080000000000001E-2"/>
    <n v="1.02626"/>
    <m/>
    <n v="9.1310000000000002E-2"/>
    <n v="0.34037000000000001"/>
    <n v="0.15603"/>
    <n v="0.22269"/>
    <n v="3.0513699999999999"/>
    <x v="0"/>
  </r>
  <r>
    <x v="94"/>
    <x v="6"/>
    <n v="95"/>
    <n v="4.9589999999999996"/>
    <n v="5.0130000000000001E-2"/>
    <m/>
    <m/>
    <n v="0.87866999999999995"/>
    <n v="0.80434000000000005"/>
    <m/>
    <n v="0.81325000000000003"/>
    <n v="0.35732999999999998"/>
    <n v="6.4130000000000006E-2"/>
    <n v="0.14272000000000001"/>
    <n v="1.8989400000000001"/>
    <x v="0"/>
  </r>
  <r>
    <x v="95"/>
    <x v="6"/>
    <n v="96"/>
    <n v="4.9489999999999998"/>
    <n v="6.9129999999999997E-2"/>
    <m/>
    <m/>
    <n v="0.83223000000000003"/>
    <n v="0.91915999999999998"/>
    <m/>
    <n v="0.79081000000000001"/>
    <n v="9.2450000000000004E-2"/>
    <n v="2.2699999999999999E-3"/>
    <n v="0.24807999999999999"/>
    <n v="2.0636700000000001"/>
    <x v="0"/>
  </r>
  <r>
    <x v="96"/>
    <x v="8"/>
    <n v="97"/>
    <n v="4.8979999999999997"/>
    <n v="9.4380000000000006E-2"/>
    <m/>
    <m/>
    <n v="0.37545000000000001"/>
    <n v="1.0410299999999999"/>
    <m/>
    <n v="7.6119999999999993E-2"/>
    <n v="0.31767000000000001"/>
    <n v="0.12504000000000001"/>
    <n v="0.16388"/>
    <n v="2.7983199999999999"/>
    <x v="0"/>
  </r>
  <r>
    <x v="97"/>
    <x v="4"/>
    <n v="98"/>
    <n v="4.8849999999999998"/>
    <n v="7.4459999999999998E-2"/>
    <m/>
    <m/>
    <n v="0.89537"/>
    <n v="1.1720200000000001"/>
    <m/>
    <n v="0.66825000000000001"/>
    <n v="0.57672000000000001"/>
    <n v="0.14233999999999999"/>
    <n v="0.21684"/>
    <n v="1.21305"/>
    <x v="0"/>
  </r>
  <r>
    <x v="98"/>
    <x v="5"/>
    <n v="99"/>
    <n v="4.8760000000000003"/>
    <n v="6.6979999999999998E-2"/>
    <m/>
    <m/>
    <n v="0.59065999999999996"/>
    <n v="0.73802999999999996"/>
    <m/>
    <n v="0.54908999999999997"/>
    <n v="0.59591000000000005"/>
    <n v="0.24249000000000001"/>
    <n v="0.42192000000000002"/>
    <n v="1.7379899999999999"/>
    <x v="0"/>
  </r>
  <r>
    <x v="99"/>
    <x v="7"/>
    <n v="100"/>
    <n v="4.8739999999999997"/>
    <n v="3.313E-2"/>
    <m/>
    <m/>
    <n v="0.82818999999999998"/>
    <n v="1.3006"/>
    <m/>
    <n v="0.60267999999999999"/>
    <n v="0.43625999999999998"/>
    <n v="2.666E-2"/>
    <n v="0.33229999999999998"/>
    <n v="1.3475900000000001"/>
    <x v="0"/>
  </r>
  <r>
    <x v="100"/>
    <x v="8"/>
    <n v="101"/>
    <n v="4.867"/>
    <n v="8.7419999999999998E-2"/>
    <m/>
    <m/>
    <n v="0.71206000000000003"/>
    <n v="1.07284"/>
    <m/>
    <n v="7.5660000000000005E-2"/>
    <n v="0.30658000000000002"/>
    <n v="3.0599999999999999E-2"/>
    <n v="0.18259"/>
    <n v="2.4867599999999999"/>
    <x v="0"/>
  </r>
  <r>
    <x v="101"/>
    <x v="0"/>
    <n v="102"/>
    <n v="4.8570000000000002"/>
    <n v="5.0619999999999998E-2"/>
    <m/>
    <m/>
    <n v="1.1540600000000001"/>
    <n v="0.92932999999999999"/>
    <m/>
    <n v="0.88212999999999997"/>
    <n v="7.6990000000000003E-2"/>
    <n v="1.397E-2"/>
    <n v="0"/>
    <n v="1.80101"/>
    <x v="0"/>
  </r>
  <r>
    <x v="102"/>
    <x v="3"/>
    <n v="103"/>
    <n v="4.8390000000000004"/>
    <n v="4.3369999999999999E-2"/>
    <m/>
    <m/>
    <n v="1.0256400000000001"/>
    <n v="0.80001"/>
    <m/>
    <n v="0.83947000000000005"/>
    <n v="0.33916000000000002"/>
    <n v="4.582E-2"/>
    <n v="0.21854000000000001"/>
    <n v="1.5705899999999999"/>
    <x v="0"/>
  </r>
  <r>
    <x v="103"/>
    <x v="6"/>
    <n v="104"/>
    <n v="4.8"/>
    <n v="6.1069999999999999E-2"/>
    <m/>
    <m/>
    <n v="1.12094"/>
    <n v="1.2021500000000001"/>
    <m/>
    <n v="0.75905"/>
    <n v="0.32112000000000002"/>
    <n v="2.758E-2"/>
    <n v="0.128"/>
    <n v="1.24074"/>
    <x v="0"/>
  </r>
  <r>
    <x v="104"/>
    <x v="4"/>
    <n v="105"/>
    <n v="4.7880000000000003"/>
    <n v="5.6480000000000002E-2"/>
    <m/>
    <m/>
    <n v="0.59531999999999996"/>
    <n v="0.95347999999999999"/>
    <m/>
    <n v="0.69510000000000005"/>
    <n v="0.40148"/>
    <n v="6.8250000000000005E-2"/>
    <n v="0.23027"/>
    <n v="1.8440799999999999"/>
    <x v="0"/>
  </r>
  <r>
    <x v="105"/>
    <x v="6"/>
    <n v="106"/>
    <n v="4.7859999999999996"/>
    <n v="3.1980000000000001E-2"/>
    <m/>
    <m/>
    <n v="0.39046999999999998"/>
    <n v="0.85563"/>
    <m/>
    <n v="0.57379000000000002"/>
    <n v="0.47216000000000002"/>
    <n v="0.15071999999999999"/>
    <n v="0.22974"/>
    <n v="2.1139899999999998"/>
    <x v="0"/>
  </r>
  <r>
    <x v="106"/>
    <x v="3"/>
    <n v="107"/>
    <n v="4.7389999999999999"/>
    <n v="3.5889999999999998E-2"/>
    <m/>
    <m/>
    <n v="0.88112999999999997"/>
    <n v="0.60428999999999999"/>
    <m/>
    <n v="0.73792999999999997"/>
    <n v="0.26268000000000002"/>
    <n v="6.3579999999999998E-2"/>
    <n v="6.4310000000000006E-2"/>
    <n v="2.12466"/>
    <x v="0"/>
  </r>
  <r>
    <x v="107"/>
    <x v="3"/>
    <n v="108"/>
    <n v="4.7149999999999999"/>
    <n v="4.394E-2"/>
    <m/>
    <m/>
    <n v="0.59867000000000004"/>
    <n v="0.92557999999999996"/>
    <m/>
    <n v="0.66015000000000001"/>
    <n v="0.24499000000000001"/>
    <n v="0.12905"/>
    <n v="0.11251"/>
    <n v="2.0438399999999999"/>
    <x v="0"/>
  </r>
  <r>
    <x v="108"/>
    <x v="9"/>
    <n v="109"/>
    <n v="4.694"/>
    <n v="3.0769999999999999E-2"/>
    <m/>
    <m/>
    <n v="0.39752999999999999"/>
    <n v="0.43106"/>
    <m/>
    <n v="0.60163999999999995"/>
    <n v="0.40820000000000001"/>
    <n v="0.12569"/>
    <n v="0.21221999999999999"/>
    <n v="2.5176699999999999"/>
    <x v="0"/>
  </r>
  <r>
    <x v="109"/>
    <x v="3"/>
    <n v="110"/>
    <n v="4.6859999999999999"/>
    <n v="4.4490000000000002E-2"/>
    <m/>
    <m/>
    <n v="1.0087999999999999"/>
    <n v="0.54447000000000001"/>
    <m/>
    <n v="0.69804999999999995"/>
    <n v="0.30032999999999999"/>
    <n v="5.8630000000000002E-2"/>
    <n v="0.38085999999999998"/>
    <n v="1.6943999999999999"/>
    <x v="0"/>
  </r>
  <r>
    <x v="110"/>
    <x v="6"/>
    <n v="111"/>
    <n v="4.681"/>
    <n v="4.4119999999999999E-2"/>
    <m/>
    <m/>
    <n v="0.79906999999999995"/>
    <n v="1.20278"/>
    <m/>
    <n v="0.67390000000000005"/>
    <n v="0.25123000000000001"/>
    <n v="2.9610000000000001E-2"/>
    <n v="0.15275"/>
    <n v="1.5713999999999999"/>
    <x v="0"/>
  </r>
  <r>
    <x v="111"/>
    <x v="3"/>
    <n v="112"/>
    <n v="4.6769999999999996"/>
    <n v="5.2319999999999998E-2"/>
    <m/>
    <m/>
    <n v="0.98548999999999998"/>
    <n v="0.81889000000000001"/>
    <m/>
    <n v="0.60236999999999996"/>
    <n v="0"/>
    <n v="0.13788"/>
    <n v="0.17921999999999999"/>
    <n v="1.9533499999999999"/>
    <x v="0"/>
  </r>
  <r>
    <x v="112"/>
    <x v="8"/>
    <n v="113"/>
    <n v="4.6420000000000003"/>
    <n v="4.5850000000000002E-2"/>
    <m/>
    <m/>
    <n v="0.92049000000000003"/>
    <n v="1.18468"/>
    <m/>
    <n v="0.27688000000000001"/>
    <n v="0.33206999999999998"/>
    <n v="8.8840000000000002E-2"/>
    <n v="0.11973"/>
    <n v="1.71956"/>
    <x v="0"/>
  </r>
  <r>
    <x v="113"/>
    <x v="8"/>
    <n v="114"/>
    <n v="4.633"/>
    <n v="4.7419999999999997E-2"/>
    <m/>
    <m/>
    <n v="0.54557999999999995"/>
    <n v="0.67954000000000003"/>
    <m/>
    <n v="0.40132000000000001"/>
    <n v="0.42342000000000002"/>
    <n v="4.3549999999999998E-2"/>
    <n v="0.23086999999999999"/>
    <n v="2.3091900000000001"/>
    <x v="0"/>
  </r>
  <r>
    <x v="114"/>
    <x v="8"/>
    <n v="115"/>
    <n v="4.6100000000000003"/>
    <n v="4.2900000000000001E-2"/>
    <m/>
    <m/>
    <n v="0.27100000000000002"/>
    <n v="1.0327599999999999"/>
    <m/>
    <n v="0.33474999999999999"/>
    <n v="0.25861000000000001"/>
    <n v="8.0790000000000001E-2"/>
    <n v="0.18987000000000001"/>
    <n v="2.44191"/>
    <x v="0"/>
  </r>
  <r>
    <x v="115"/>
    <x v="8"/>
    <n v="116"/>
    <n v="4.5709999999999997"/>
    <n v="0.11068"/>
    <m/>
    <m/>
    <n v="7.1199999999999999E-2"/>
    <n v="0.78968000000000005"/>
    <m/>
    <n v="0.34200999999999998"/>
    <n v="0.28531000000000001"/>
    <n v="6.232E-2"/>
    <n v="0.24362"/>
    <n v="2.7772899999999998"/>
    <x v="0"/>
  </r>
  <r>
    <x v="116"/>
    <x v="9"/>
    <n v="117"/>
    <n v="4.5650000000000004"/>
    <n v="2.043E-2"/>
    <m/>
    <m/>
    <n v="0.64498999999999995"/>
    <n v="0.38174000000000002"/>
    <m/>
    <n v="0.51529000000000003"/>
    <n v="0.39785999999999999"/>
    <n v="8.4919999999999995E-2"/>
    <n v="0.26474999999999999"/>
    <n v="2.2751299999999999"/>
    <x v="0"/>
  </r>
  <r>
    <x v="117"/>
    <x v="8"/>
    <n v="118"/>
    <n v="4.55"/>
    <n v="6.7400000000000002E-2"/>
    <m/>
    <m/>
    <n v="0.52107000000000003"/>
    <n v="1.0140400000000001"/>
    <m/>
    <n v="0.36878"/>
    <n v="0.10081"/>
    <n v="0.14660000000000001"/>
    <n v="0.19062000000000001"/>
    <n v="2.2085699999999999"/>
    <x v="0"/>
  </r>
  <r>
    <x v="118"/>
    <x v="4"/>
    <n v="119"/>
    <n v="4.5179999999999998"/>
    <n v="7.331E-2"/>
    <m/>
    <m/>
    <n v="0.26673000000000002"/>
    <n v="0.74302000000000001"/>
    <m/>
    <n v="0.38846999999999998"/>
    <n v="0.24424999999999999"/>
    <n v="0.17175000000000001"/>
    <n v="0.46187"/>
    <n v="2.24173"/>
    <x v="0"/>
  </r>
  <r>
    <x v="119"/>
    <x v="8"/>
    <n v="120"/>
    <n v="4.5170000000000003"/>
    <n v="3.6799999999999999E-2"/>
    <m/>
    <m/>
    <n v="0"/>
    <n v="1.0012000000000001"/>
    <m/>
    <n v="9.8059999999999994E-2"/>
    <n v="0.22605"/>
    <n v="7.6249999999999998E-2"/>
    <n v="0.24834000000000001"/>
    <n v="2.8671199999999999"/>
    <x v="0"/>
  </r>
  <r>
    <x v="120"/>
    <x v="9"/>
    <n v="121"/>
    <n v="4.5140000000000002"/>
    <n v="3.6069999999999998E-2"/>
    <m/>
    <m/>
    <n v="0.35997000000000001"/>
    <n v="0.86448999999999998"/>
    <m/>
    <n v="0.56874000000000002"/>
    <n v="0.38281999999999999"/>
    <n v="5.9069999999999998E-2"/>
    <n v="0.32296000000000002"/>
    <n v="1.9563699999999999"/>
    <x v="0"/>
  </r>
  <r>
    <x v="121"/>
    <x v="8"/>
    <n v="122"/>
    <n v="4.5119999999999996"/>
    <n v="3.78E-2"/>
    <m/>
    <m/>
    <n v="0.19073000000000001"/>
    <n v="0.60406000000000004"/>
    <m/>
    <n v="0.44055"/>
    <n v="0.4345"/>
    <n v="0.15048"/>
    <n v="0.24324999999999999"/>
    <n v="2.44876"/>
    <x v="0"/>
  </r>
  <r>
    <x v="122"/>
    <x v="8"/>
    <n v="123"/>
    <n v="4.5069999999999997"/>
    <n v="7.0680000000000007E-2"/>
    <m/>
    <m/>
    <n v="0.33023999999999998"/>
    <n v="0.95570999999999995"/>
    <m/>
    <n v="0"/>
    <n v="0.40839999999999999"/>
    <n v="8.7859999999999994E-2"/>
    <n v="0.21487999999999999"/>
    <n v="2.5100899999999999"/>
    <x v="0"/>
  </r>
  <r>
    <x v="123"/>
    <x v="8"/>
    <n v="124"/>
    <n v="4.4359999999999999"/>
    <n v="3.9469999999999998E-2"/>
    <m/>
    <m/>
    <n v="0.45406999999999997"/>
    <n v="0.86907999999999996"/>
    <m/>
    <n v="0.35874"/>
    <n v="0.24232000000000001"/>
    <n v="0.17460999999999999"/>
    <n v="0.219"/>
    <n v="2.1177299999999999"/>
    <x v="0"/>
  </r>
  <r>
    <x v="124"/>
    <x v="8"/>
    <n v="125"/>
    <n v="4.4189999999999996"/>
    <n v="4.734E-2"/>
    <m/>
    <m/>
    <n v="0.36470999999999998"/>
    <n v="0.99875999999999998"/>
    <m/>
    <n v="0.41435"/>
    <n v="0.42215000000000003"/>
    <n v="5.8389999999999997E-2"/>
    <n v="0.37541999999999998"/>
    <n v="1.78555"/>
    <x v="0"/>
  </r>
  <r>
    <x v="125"/>
    <x v="8"/>
    <n v="126"/>
    <n v="4.3689999999999998"/>
    <n v="8.0960000000000004E-2"/>
    <m/>
    <m/>
    <n v="0.44024999999999997"/>
    <n v="0.59206999999999999"/>
    <m/>
    <n v="0.36291000000000001"/>
    <n v="0.46073999999999998"/>
    <n v="0.28105000000000002"/>
    <n v="0.18093000000000001"/>
    <n v="2.05125"/>
    <x v="0"/>
  </r>
  <r>
    <x v="126"/>
    <x v="6"/>
    <n v="127"/>
    <n v="4.3499999999999996"/>
    <n v="4.7629999999999999E-2"/>
    <m/>
    <m/>
    <n v="0.76820999999999995"/>
    <n v="0.77710999999999997"/>
    <m/>
    <n v="0.72989999999999999"/>
    <n v="0.19847000000000001"/>
    <n v="3.9E-2"/>
    <n v="7.8549999999999995E-2"/>
    <n v="1.7587299999999999"/>
    <x v="0"/>
  </r>
  <r>
    <x v="127"/>
    <x v="8"/>
    <n v="128"/>
    <n v="4.3319999999999999"/>
    <n v="4.9340000000000002E-2"/>
    <m/>
    <m/>
    <n v="0.99355000000000004"/>
    <n v="1.1046400000000001"/>
    <m/>
    <n v="4.7759999999999997E-2"/>
    <n v="0.49495"/>
    <n v="0.12474"/>
    <n v="0.10460999999999999"/>
    <n v="1.4618100000000001"/>
    <x v="0"/>
  </r>
  <r>
    <x v="128"/>
    <x v="5"/>
    <n v="129"/>
    <n v="4.3070000000000004"/>
    <n v="4.351E-2"/>
    <m/>
    <m/>
    <n v="0.27107999999999999"/>
    <n v="0.70904999999999996"/>
    <m/>
    <n v="0.48246"/>
    <n v="0.44017000000000001"/>
    <n v="0.19034000000000001"/>
    <n v="0.79588000000000003"/>
    <n v="1.41805"/>
    <x v="0"/>
  </r>
  <r>
    <x v="129"/>
    <x v="6"/>
    <n v="130"/>
    <n v="4.2969999999999997"/>
    <n v="4.2209999999999998E-2"/>
    <m/>
    <m/>
    <n v="0.7419"/>
    <n v="0.38562000000000002"/>
    <m/>
    <n v="0.72926000000000002"/>
    <n v="0.40577000000000002"/>
    <n v="0.38330999999999998"/>
    <n v="5.5469999999999998E-2"/>
    <n v="1.59541"/>
    <x v="0"/>
  </r>
  <r>
    <x v="130"/>
    <x v="8"/>
    <n v="131"/>
    <n v="4.2919999999999998"/>
    <n v="6.13E-2"/>
    <m/>
    <m/>
    <n v="1.6039999999999999E-2"/>
    <n v="0.41133999999999998"/>
    <m/>
    <n v="0.22561999999999999"/>
    <n v="0.43053999999999998"/>
    <n v="6.9769999999999999E-2"/>
    <n v="0.33128000000000002"/>
    <n v="2.8079100000000001"/>
    <x v="0"/>
  </r>
  <r>
    <x v="131"/>
    <x v="9"/>
    <n v="132"/>
    <n v="4.2709999999999999"/>
    <n v="3.7510000000000002E-2"/>
    <m/>
    <m/>
    <n v="0.83523999999999998"/>
    <n v="1.01905"/>
    <m/>
    <n v="0.70806000000000002"/>
    <n v="0.53725999999999996"/>
    <n v="9.1789999999999997E-2"/>
    <n v="0.40827999999999998"/>
    <n v="0.67108000000000001"/>
    <x v="0"/>
  </r>
  <r>
    <x v="132"/>
    <x v="8"/>
    <n v="133"/>
    <n v="4.2519999999999998"/>
    <n v="4.6780000000000002E-2"/>
    <m/>
    <m/>
    <n v="0.42249999999999999"/>
    <n v="0.88766999999999996"/>
    <m/>
    <n v="0.23402000000000001"/>
    <n v="0.49308999999999997"/>
    <n v="5.7860000000000002E-2"/>
    <n v="0.20618"/>
    <n v="1.9507099999999999"/>
    <x v="0"/>
  </r>
  <r>
    <x v="133"/>
    <x v="6"/>
    <n v="134"/>
    <n v="4.218"/>
    <n v="4.8280000000000003E-2"/>
    <m/>
    <m/>
    <n v="1.0121599999999999"/>
    <n v="1.1061399999999999"/>
    <m/>
    <n v="0.76649"/>
    <n v="0.30586999999999998"/>
    <n v="8.7200000000000003E-3"/>
    <n v="0.11921"/>
    <n v="0.89990999999999999"/>
    <x v="0"/>
  </r>
  <r>
    <x v="134"/>
    <x v="3"/>
    <n v="135"/>
    <n v="4.194"/>
    <n v="3.2599999999999997E-2"/>
    <m/>
    <m/>
    <n v="0.88180000000000003"/>
    <n v="0.747"/>
    <m/>
    <n v="0.61712"/>
    <n v="0.17288000000000001"/>
    <n v="6.3240000000000005E-2"/>
    <n v="0.11291"/>
    <n v="1.59927"/>
    <x v="0"/>
  </r>
  <r>
    <x v="135"/>
    <x v="3"/>
    <n v="136"/>
    <n v="4.077"/>
    <n v="4.367E-2"/>
    <m/>
    <m/>
    <n v="0.54649000000000003"/>
    <n v="0.68093000000000004"/>
    <m/>
    <n v="0.40064"/>
    <n v="0.35571000000000003"/>
    <n v="7.8539999999999999E-2"/>
    <n v="9.1310000000000002E-2"/>
    <n v="1.92313"/>
    <x v="0"/>
  </r>
  <r>
    <x v="136"/>
    <x v="8"/>
    <n v="137"/>
    <n v="4.0330000000000004"/>
    <n v="4.7579999999999997E-2"/>
    <m/>
    <m/>
    <n v="0.75778000000000001"/>
    <n v="0.86040000000000005"/>
    <m/>
    <n v="0.16683000000000001"/>
    <n v="0.10384"/>
    <n v="7.1220000000000006E-2"/>
    <n v="0.12343999999999999"/>
    <n v="1.94939"/>
    <x v="0"/>
  </r>
  <r>
    <x v="137"/>
    <x v="8"/>
    <n v="138"/>
    <n v="3.9950000000000001"/>
    <n v="5.602E-2"/>
    <m/>
    <m/>
    <n v="0.26074000000000003"/>
    <n v="1.0352600000000001"/>
    <m/>
    <n v="0.20583000000000001"/>
    <n v="0.38857000000000003"/>
    <n v="0.12352"/>
    <n v="0.18798000000000001"/>
    <n v="1.7929299999999999"/>
    <x v="0"/>
  </r>
  <r>
    <x v="138"/>
    <x v="8"/>
    <n v="139"/>
    <n v="3.9889999999999999"/>
    <n v="6.6820000000000004E-2"/>
    <m/>
    <m/>
    <n v="0.67866000000000004"/>
    <n v="0.66290000000000004"/>
    <m/>
    <n v="0.31051000000000001"/>
    <n v="0.41465999999999997"/>
    <n v="0.11686000000000001"/>
    <n v="0.12388"/>
    <n v="1.6813499999999999"/>
    <x v="0"/>
  </r>
  <r>
    <x v="139"/>
    <x v="8"/>
    <n v="140"/>
    <n v="3.956"/>
    <n v="4.7969999999999999E-2"/>
    <m/>
    <m/>
    <n v="0.23905999999999999"/>
    <n v="0.79273000000000005"/>
    <m/>
    <n v="0.36314999999999997"/>
    <n v="0.22917000000000001"/>
    <n v="0.19900000000000001"/>
    <n v="0.17441000000000001"/>
    <n v="1.9581200000000001"/>
    <x v="0"/>
  </r>
  <r>
    <x v="140"/>
    <x v="8"/>
    <n v="141"/>
    <n v="3.931"/>
    <n v="4.317E-2"/>
    <m/>
    <m/>
    <n v="0.21102000000000001"/>
    <n v="1.1329899999999999"/>
    <m/>
    <n v="0.33861000000000002"/>
    <n v="0.45727000000000001"/>
    <n v="7.2669999999999998E-2"/>
    <n v="0.29065999999999997"/>
    <n v="1.4276599999999999"/>
    <x v="0"/>
  </r>
  <r>
    <x v="141"/>
    <x v="8"/>
    <n v="142"/>
    <n v="3.9039999999999999"/>
    <n v="3.6080000000000001E-2"/>
    <m/>
    <m/>
    <n v="0.36498000000000003"/>
    <n v="0.97619"/>
    <m/>
    <n v="0.43540000000000001"/>
    <n v="0.36771999999999999"/>
    <n v="0.10713"/>
    <n v="0.20843"/>
    <n v="1.4439500000000001"/>
    <x v="0"/>
  </r>
  <r>
    <x v="142"/>
    <x v="8"/>
    <n v="143"/>
    <n v="3.8959999999999999"/>
    <n v="4.5469999999999997E-2"/>
    <m/>
    <m/>
    <n v="1.0602400000000001"/>
    <n v="0.90527999999999997"/>
    <m/>
    <n v="0.43371999999999999"/>
    <n v="0.31913999999999998"/>
    <n v="0.11090999999999999"/>
    <n v="6.8220000000000003E-2"/>
    <n v="0.99895"/>
    <x v="0"/>
  </r>
  <r>
    <x v="143"/>
    <x v="8"/>
    <n v="144"/>
    <n v="3.8450000000000002"/>
    <n v="3.6020000000000003E-2"/>
    <m/>
    <m/>
    <n v="6.9400000000000003E-2"/>
    <n v="0.77264999999999995"/>
    <m/>
    <n v="0.29707"/>
    <n v="0.47692000000000001"/>
    <n v="0.15639"/>
    <n v="0.19386999999999999"/>
    <n v="1.8787700000000001"/>
    <x v="0"/>
  </r>
  <r>
    <x v="144"/>
    <x v="5"/>
    <n v="145"/>
    <n v="3.819"/>
    <n v="5.0689999999999999E-2"/>
    <m/>
    <m/>
    <n v="0.46038000000000001"/>
    <n v="0.62736000000000003"/>
    <m/>
    <n v="0.61114000000000002"/>
    <n v="0.66246000000000005"/>
    <n v="7.2470000000000007E-2"/>
    <n v="0.40359"/>
    <n v="0.98194999999999999"/>
    <x v="0"/>
  </r>
  <r>
    <x v="145"/>
    <x v="8"/>
    <n v="146"/>
    <n v="3.7810000000000001"/>
    <n v="5.0610000000000002E-2"/>
    <m/>
    <m/>
    <n v="0.28520000000000001"/>
    <n v="1.00268"/>
    <m/>
    <n v="0.38214999999999999"/>
    <n v="0.32878000000000002"/>
    <n v="5.747E-2"/>
    <n v="0.34377000000000002"/>
    <n v="1.38079"/>
    <x v="0"/>
  </r>
  <r>
    <x v="146"/>
    <x v="8"/>
    <n v="147"/>
    <n v="3.681"/>
    <n v="3.6330000000000001E-2"/>
    <m/>
    <m/>
    <n v="0.20824000000000001"/>
    <n v="0.66800999999999999"/>
    <m/>
    <n v="0.46721000000000001"/>
    <n v="0.19184000000000001"/>
    <n v="8.1240000000000007E-2"/>
    <n v="0.21332999999999999"/>
    <n v="1.851"/>
    <x v="0"/>
  </r>
  <r>
    <x v="147"/>
    <x v="8"/>
    <n v="148"/>
    <n v="3.6779999999999999"/>
    <n v="6.1120000000000001E-2"/>
    <m/>
    <m/>
    <n v="7.85E-2"/>
    <n v="0"/>
    <m/>
    <n v="6.6989999999999994E-2"/>
    <n v="0.48879"/>
    <n v="8.2890000000000005E-2"/>
    <n v="0.23835000000000001"/>
    <n v="2.7223000000000002"/>
    <x v="0"/>
  </r>
  <r>
    <x v="148"/>
    <x v="8"/>
    <n v="149"/>
    <n v="3.6669999999999998"/>
    <n v="3.8300000000000001E-2"/>
    <m/>
    <m/>
    <n v="0.34193000000000001"/>
    <n v="0.76061999999999996"/>
    <m/>
    <n v="0.15010000000000001"/>
    <n v="0.23501"/>
    <n v="5.2690000000000001E-2"/>
    <n v="0.18386"/>
    <n v="1.94296"/>
    <x v="0"/>
  </r>
  <r>
    <x v="149"/>
    <x v="8"/>
    <n v="150"/>
    <n v="3.6560000000000001"/>
    <n v="3.5900000000000001E-2"/>
    <m/>
    <m/>
    <n v="0.17416999999999999"/>
    <n v="0.46475"/>
    <m/>
    <n v="0.24009"/>
    <n v="0.37724999999999997"/>
    <n v="0.12139"/>
    <n v="0.28656999999999999"/>
    <n v="1.9917199999999999"/>
    <x v="0"/>
  </r>
  <r>
    <x v="150"/>
    <x v="8"/>
    <n v="151"/>
    <n v="3.6549999999999998"/>
    <n v="5.1409999999999997E-2"/>
    <m/>
    <m/>
    <n v="0.46533999999999998"/>
    <n v="0.77115"/>
    <m/>
    <n v="0.15185000000000001"/>
    <n v="0.46866000000000002"/>
    <n v="0.17921999999999999"/>
    <n v="0.20165"/>
    <n v="1.41723"/>
    <x v="0"/>
  </r>
  <r>
    <x v="151"/>
    <x v="8"/>
    <n v="152"/>
    <n v="3.5870000000000002"/>
    <n v="4.3240000000000001E-2"/>
    <m/>
    <m/>
    <n v="0.25812000000000002"/>
    <n v="0.85187999999999997"/>
    <m/>
    <n v="0.27124999999999999"/>
    <n v="0.39493"/>
    <n v="0.12831999999999999"/>
    <n v="0.21747"/>
    <n v="1.4649399999999999"/>
    <x v="0"/>
  </r>
  <r>
    <x v="152"/>
    <x v="9"/>
    <n v="153"/>
    <n v="3.5750000000000002"/>
    <n v="3.0839999999999999E-2"/>
    <m/>
    <m/>
    <n v="0.31981999999999999"/>
    <n v="0.30285000000000001"/>
    <m/>
    <n v="0.30335000000000001"/>
    <n v="0.23413999999999999"/>
    <n v="9.7189999999999999E-2"/>
    <n v="0.36509999999999998"/>
    <n v="1.9520999999999999"/>
    <x v="0"/>
  </r>
  <r>
    <x v="153"/>
    <x v="8"/>
    <n v="154"/>
    <n v="3.4649999999999999"/>
    <n v="3.4639999999999997E-2"/>
    <m/>
    <m/>
    <n v="0.22208"/>
    <n v="0.77370000000000005"/>
    <m/>
    <n v="0.42864000000000002"/>
    <n v="0.59201000000000004"/>
    <n v="0.55191000000000001"/>
    <n v="0.22628000000000001"/>
    <n v="0.67042000000000002"/>
    <x v="0"/>
  </r>
  <r>
    <x v="154"/>
    <x v="8"/>
    <n v="155"/>
    <n v="3.34"/>
    <n v="3.6560000000000002E-2"/>
    <m/>
    <m/>
    <n v="0.28665000000000002"/>
    <n v="0.35386000000000001"/>
    <m/>
    <n v="0.31909999999999999"/>
    <n v="0.48449999999999999"/>
    <n v="8.0100000000000005E-2"/>
    <n v="0.18260000000000001"/>
    <n v="1.6332800000000001"/>
    <x v="0"/>
  </r>
  <r>
    <x v="155"/>
    <x v="3"/>
    <n v="156"/>
    <n v="3.0059999999999998"/>
    <n v="5.015E-2"/>
    <m/>
    <m/>
    <n v="0.66320000000000001"/>
    <n v="0.47488999999999998"/>
    <m/>
    <n v="0.72192999999999996"/>
    <n v="0.15684000000000001"/>
    <n v="0.18906000000000001"/>
    <n v="0.47178999999999999"/>
    <n v="0.32857999999999998"/>
    <x v="0"/>
  </r>
  <r>
    <x v="156"/>
    <x v="8"/>
    <n v="157"/>
    <n v="2.9049999999999998"/>
    <n v="8.6580000000000004E-2"/>
    <m/>
    <m/>
    <n v="1.5299999999999999E-2"/>
    <n v="0.41587000000000002"/>
    <m/>
    <n v="0.22395999999999999"/>
    <n v="0.11849999999999999"/>
    <n v="0.10062"/>
    <n v="0.19727"/>
    <n v="1.8330200000000001"/>
    <x v="0"/>
  </r>
  <r>
    <x v="157"/>
    <x v="8"/>
    <n v="158"/>
    <n v="2.839"/>
    <n v="6.7269999999999996E-2"/>
    <m/>
    <m/>
    <n v="0.20868"/>
    <n v="0.13994999999999999"/>
    <m/>
    <n v="0.28443000000000002"/>
    <n v="0.36453000000000002"/>
    <n v="0.10731"/>
    <n v="0.16681000000000001"/>
    <n v="1.5672600000000001"/>
    <x v="0"/>
  </r>
  <r>
    <x v="2"/>
    <x v="0"/>
    <n v="1"/>
    <n v="7.5259999999999998"/>
    <m/>
    <n v="7.46"/>
    <n v="7.5919999999999996"/>
    <n v="1.4417800000000001"/>
    <n v="1.16374"/>
    <m/>
    <n v="0.79503999999999997"/>
    <n v="0.57940999999999998"/>
    <n v="0.44452999999999998"/>
    <n v="0.36170999999999998"/>
    <n v="2.7393900000000002"/>
    <x v="1"/>
  </r>
  <r>
    <x v="0"/>
    <x v="0"/>
    <n v="2"/>
    <n v="7.5090000000000003"/>
    <m/>
    <n v="7.4279999999999999"/>
    <n v="7.59"/>
    <n v="1.5273300000000001"/>
    <n v="1.14524"/>
    <m/>
    <n v="0.86302999999999996"/>
    <n v="0.58557000000000003"/>
    <n v="0.41203000000000001"/>
    <n v="0.28083000000000002"/>
    <n v="2.6946300000000001"/>
    <x v="1"/>
  </r>
  <r>
    <x v="1"/>
    <x v="0"/>
    <n v="3"/>
    <n v="7.5010000000000003"/>
    <m/>
    <n v="7.3330000000000002"/>
    <n v="7.6689999999999996"/>
    <n v="1.42666"/>
    <n v="1.18326"/>
    <m/>
    <n v="0.86733000000000005"/>
    <n v="0.56623999999999997"/>
    <n v="0.14974999999999999"/>
    <n v="0.47677999999999998"/>
    <n v="2.8313700000000002"/>
    <x v="1"/>
  </r>
  <r>
    <x v="3"/>
    <x v="0"/>
    <n v="4"/>
    <n v="7.4980000000000002"/>
    <m/>
    <n v="7.4210000000000003"/>
    <n v="7.5750000000000002"/>
    <n v="1.57744"/>
    <n v="1.1269"/>
    <m/>
    <n v="0.79579"/>
    <n v="0.59609000000000001"/>
    <n v="0.35776000000000002"/>
    <n v="0.37895000000000001"/>
    <n v="2.66465"/>
    <x v="1"/>
  </r>
  <r>
    <x v="5"/>
    <x v="0"/>
    <n v="5"/>
    <n v="7.4130000000000003"/>
    <m/>
    <n v="7.351"/>
    <n v="7.4749999999999996"/>
    <n v="1.40598"/>
    <n v="1.1346400000000001"/>
    <m/>
    <n v="0.81091000000000002"/>
    <n v="0.57103999999999999"/>
    <n v="0.41004000000000002"/>
    <n v="0.25491999999999998"/>
    <n v="2.8259599999999998"/>
    <x v="1"/>
  </r>
  <r>
    <x v="4"/>
    <x v="1"/>
    <n v="6"/>
    <n v="7.4039999999999999"/>
    <m/>
    <n v="7.335"/>
    <n v="7.4729999999999999"/>
    <n v="1.44015"/>
    <n v="1.0961000000000001"/>
    <m/>
    <n v="0.8276"/>
    <n v="0.57369999999999999"/>
    <n v="0.31329000000000001"/>
    <n v="0.44834000000000002"/>
    <n v="2.70485"/>
    <x v="1"/>
  </r>
  <r>
    <x v="6"/>
    <x v="0"/>
    <n v="7"/>
    <n v="7.3390000000000004"/>
    <m/>
    <n v="7.2839999999999998"/>
    <n v="7.3940000000000001"/>
    <n v="1.46468"/>
    <n v="1.02912"/>
    <m/>
    <n v="0.81230999999999998"/>
    <n v="0.55210999999999999"/>
    <n v="0.29926999999999998"/>
    <n v="0.47416000000000003"/>
    <n v="2.70749"/>
    <x v="1"/>
  </r>
  <r>
    <x v="8"/>
    <x v="2"/>
    <n v="8"/>
    <n v="7.3339999999999996"/>
    <m/>
    <n v="7.2640000000000002"/>
    <n v="7.4039999999999999"/>
    <n v="1.36066"/>
    <n v="1.1727799999999999"/>
    <m/>
    <n v="0.83096000000000003"/>
    <n v="0.58147000000000004"/>
    <n v="0.41904000000000002"/>
    <n v="0.49401"/>
    <n v="2.47553"/>
    <x v="1"/>
  </r>
  <r>
    <x v="9"/>
    <x v="2"/>
    <n v="9"/>
    <n v="7.3129999999999997"/>
    <m/>
    <n v="7.2409999999999997"/>
    <n v="7.3849999999999998"/>
    <n v="1.4444300000000001"/>
    <n v="1.10476"/>
    <m/>
    <n v="0.85119999999999996"/>
    <n v="0.56837000000000004"/>
    <n v="0.32330999999999999"/>
    <n v="0.47406999999999999"/>
    <n v="2.5465"/>
    <x v="1"/>
  </r>
  <r>
    <x v="7"/>
    <x v="0"/>
    <n v="10"/>
    <n v="7.2910000000000004"/>
    <m/>
    <n v="7.2270000000000003"/>
    <n v="7.3550000000000004"/>
    <n v="1.45181"/>
    <n v="1.0876399999999999"/>
    <m/>
    <n v="0.83121"/>
    <n v="0.58218000000000003"/>
    <n v="0.40866999999999998"/>
    <n v="0.38253999999999999"/>
    <n v="2.5473400000000002"/>
    <x v="1"/>
  </r>
  <r>
    <x v="10"/>
    <x v="3"/>
    <n v="11"/>
    <n v="7.2670000000000003"/>
    <m/>
    <n v="7.1989999999999998"/>
    <n v="7.335"/>
    <n v="1.3376600000000001"/>
    <n v="0.99536999999999998"/>
    <m/>
    <n v="0.84916999999999998"/>
    <n v="0.36431999999999998"/>
    <n v="8.7279999999999996E-2"/>
    <n v="0.32288"/>
    <n v="3.3102900000000002"/>
    <x v="1"/>
  </r>
  <r>
    <x v="12"/>
    <x v="0"/>
    <n v="12"/>
    <n v="7.1189999999999998"/>
    <m/>
    <n v="7.0449999999999999"/>
    <n v="7.1929999999999996"/>
    <n v="1.45038"/>
    <n v="1.0838300000000001"/>
    <m/>
    <n v="0.80564999999999998"/>
    <n v="0.54354999999999998"/>
    <n v="0.21348"/>
    <n v="0.32865"/>
    <n v="2.6934300000000002"/>
    <x v="1"/>
  </r>
  <r>
    <x v="14"/>
    <x v="1"/>
    <n v="13"/>
    <n v="7.1040000000000001"/>
    <m/>
    <n v="7.02"/>
    <n v="7.1879999999999997"/>
    <n v="1.50796"/>
    <n v="1.04782"/>
    <m/>
    <n v="0.77900000000000003"/>
    <n v="0.48163"/>
    <n v="0.14868000000000001"/>
    <n v="0.41077000000000002"/>
    <n v="2.7278199999999999"/>
    <x v="1"/>
  </r>
  <r>
    <x v="11"/>
    <x v="4"/>
    <n v="14"/>
    <n v="7.0869999999999997"/>
    <m/>
    <n v="6.9989999999999997"/>
    <n v="7.1749999999999998"/>
    <n v="1.0687899999999999"/>
    <n v="1.02152"/>
    <m/>
    <n v="0.76146000000000003"/>
    <n v="0.55225000000000002"/>
    <n v="0.10546999999999999"/>
    <n v="0.22553000000000001"/>
    <n v="3.35168"/>
    <x v="1"/>
  </r>
  <r>
    <x v="158"/>
    <x v="4"/>
    <n v="15"/>
    <n v="7.0389999999999997"/>
    <m/>
    <n v="6.7939999999999996"/>
    <n v="7.2839999999999998"/>
    <n v="1.3594299999999999"/>
    <n v="1.0811299999999999"/>
    <m/>
    <n v="0.77758000000000005"/>
    <n v="0.46822999999999998"/>
    <n v="0.12275"/>
    <n v="0.22202"/>
    <n v="3.0076000000000001"/>
    <x v="1"/>
  </r>
  <r>
    <x v="25"/>
    <x v="0"/>
    <n v="16"/>
    <n v="6.9939999999999998"/>
    <m/>
    <n v="6.93"/>
    <n v="7.0579999999999998"/>
    <n v="1.44787"/>
    <n v="1.0977399999999999"/>
    <m/>
    <n v="0.81486999999999998"/>
    <n v="0.53466000000000002"/>
    <n v="0.28550999999999999"/>
    <n v="0.30452000000000001"/>
    <n v="2.5093100000000002"/>
    <x v="1"/>
  </r>
  <r>
    <x v="15"/>
    <x v="4"/>
    <n v="17"/>
    <n v="6.952"/>
    <m/>
    <n v="6.875"/>
    <n v="7.0289999999999999"/>
    <n v="1.08754"/>
    <n v="1.03938"/>
    <m/>
    <n v="0.61414999999999997"/>
    <n v="0.40425"/>
    <n v="0.14166000000000001"/>
    <n v="0.15776000000000001"/>
    <n v="3.5073300000000001"/>
    <x v="1"/>
  </r>
  <r>
    <x v="18"/>
    <x v="0"/>
    <n v="18"/>
    <n v="6.9290000000000003"/>
    <m/>
    <n v="6.8609999999999998"/>
    <n v="6.9969999999999999"/>
    <n v="1.4253899999999999"/>
    <n v="1.0524899999999999"/>
    <m/>
    <n v="0.81959000000000004"/>
    <n v="0.51354"/>
    <n v="0.26247999999999999"/>
    <n v="0.2424"/>
    <n v="2.61355"/>
    <x v="1"/>
  </r>
  <r>
    <x v="17"/>
    <x v="0"/>
    <n v="19"/>
    <n v="6.907"/>
    <m/>
    <n v="6.8360000000000003"/>
    <n v="6.9779999999999998"/>
    <n v="1.4834099999999999"/>
    <n v="1.16157"/>
    <m/>
    <n v="0.81455"/>
    <n v="0.54008"/>
    <n v="0.29754000000000003"/>
    <n v="0.44962999999999997"/>
    <n v="2.1598799999999998"/>
    <x v="1"/>
  </r>
  <r>
    <x v="16"/>
    <x v="0"/>
    <n v="20"/>
    <n v="6.8710000000000004"/>
    <m/>
    <n v="6.8040000000000003"/>
    <n v="6.9379999999999997"/>
    <n v="1.6975199999999999"/>
    <n v="1.03999"/>
    <m/>
    <n v="0.84541999999999995"/>
    <n v="0.54869999999999997"/>
    <n v="0.35328999999999999"/>
    <n v="0.27571000000000001"/>
    <n v="2.1105499999999999"/>
    <x v="1"/>
  </r>
  <r>
    <x v="13"/>
    <x v="4"/>
    <n v="21"/>
    <n v="6.7779999999999996"/>
    <m/>
    <n v="6.68"/>
    <n v="6.8760000000000003"/>
    <n v="1.1150800000000001"/>
    <n v="0.71460000000000001"/>
    <m/>
    <n v="0.71143000000000001"/>
    <n v="0.37708999999999998"/>
    <n v="0.18354999999999999"/>
    <n v="0.11735"/>
    <n v="3.5590600000000001"/>
    <x v="1"/>
  </r>
  <r>
    <x v="23"/>
    <x v="5"/>
    <n v="22"/>
    <n v="6.7389999999999999"/>
    <m/>
    <n v="6.6740000000000004"/>
    <n v="6.8040000000000003"/>
    <n v="1.6455500000000001"/>
    <n v="0.86758000000000002"/>
    <m/>
    <n v="0.94718999999999998"/>
    <n v="0.48770000000000002"/>
    <n v="0.46987000000000001"/>
    <n v="0.32706000000000002"/>
    <n v="1.9937499999999999"/>
    <x v="1"/>
  </r>
  <r>
    <x v="20"/>
    <x v="0"/>
    <n v="23"/>
    <n v="6.7249999999999996"/>
    <m/>
    <n v="6.6470000000000002"/>
    <n v="6.8029999999999999"/>
    <n v="1.40283"/>
    <n v="1.0867199999999999"/>
    <m/>
    <n v="0.80991000000000002"/>
    <n v="0.50036000000000003"/>
    <n v="0.27399000000000001"/>
    <n v="0.50156000000000001"/>
    <n v="2.1499899999999998"/>
    <x v="1"/>
  </r>
  <r>
    <x v="26"/>
    <x v="4"/>
    <n v="24"/>
    <n v="6.7050000000000001"/>
    <m/>
    <n v="6.6150000000000002"/>
    <n v="6.7949999999999999"/>
    <n v="1.2166999999999999"/>
    <n v="0.90586999999999995"/>
    <m/>
    <n v="0.81882999999999995"/>
    <n v="0.37789"/>
    <n v="0.11451"/>
    <n v="0.31595000000000001"/>
    <n v="2.95505"/>
    <x v="1"/>
  </r>
  <r>
    <x v="24"/>
    <x v="4"/>
    <n v="25"/>
    <n v="6.7009999999999996"/>
    <m/>
    <n v="6.601"/>
    <n v="6.8010000000000002"/>
    <n v="1.18306"/>
    <n v="0.98912"/>
    <m/>
    <n v="0.70835000000000004"/>
    <n v="0.48926999999999998"/>
    <n v="8.4229999999999999E-2"/>
    <n v="0.24179999999999999"/>
    <n v="3.0055900000000002"/>
    <x v="1"/>
  </r>
  <r>
    <x v="29"/>
    <x v="4"/>
    <n v="26"/>
    <n v="6.65"/>
    <m/>
    <n v="6.56"/>
    <n v="6.74"/>
    <n v="1.15137"/>
    <n v="1.06612"/>
    <m/>
    <n v="0.69711000000000001"/>
    <n v="0.42283999999999999"/>
    <n v="7.2959999999999997E-2"/>
    <n v="0.10989"/>
    <n v="3.1298499999999998"/>
    <x v="1"/>
  </r>
  <r>
    <x v="30"/>
    <x v="6"/>
    <n v="27"/>
    <n v="6.5960000000000001"/>
    <m/>
    <n v="6.5149999999999997"/>
    <n v="6.6769999999999996"/>
    <n v="1.30915"/>
    <n v="1.00793"/>
    <m/>
    <n v="0.76375999999999999"/>
    <n v="0.41417999999999999"/>
    <n v="3.986E-2"/>
    <n v="9.9290000000000003E-2"/>
    <n v="2.96211"/>
    <x v="1"/>
  </r>
  <r>
    <x v="19"/>
    <x v="3"/>
    <n v="28"/>
    <n v="6.5730000000000004"/>
    <m/>
    <n v="6.4939999999999998"/>
    <n v="6.6520000000000001"/>
    <n v="1.57352"/>
    <n v="0.87114000000000003"/>
    <m/>
    <n v="0.72992999999999997"/>
    <n v="0.56215000000000004"/>
    <n v="0.35560999999999998"/>
    <n v="0.26590999999999998"/>
    <n v="2.2150699999999999"/>
    <x v="1"/>
  </r>
  <r>
    <x v="31"/>
    <x v="4"/>
    <n v="29"/>
    <n v="6.5449999999999999"/>
    <m/>
    <n v="6.4560000000000004"/>
    <n v="6.6340000000000003"/>
    <n v="1.18157"/>
    <n v="1.0314300000000001"/>
    <m/>
    <n v="0.72182999999999997"/>
    <n v="0.54388000000000003"/>
    <n v="0.21393999999999999"/>
    <n v="0.18056"/>
    <n v="2.6713900000000002"/>
    <x v="1"/>
  </r>
  <r>
    <x v="36"/>
    <x v="0"/>
    <n v="30"/>
    <n v="6.4880000000000004"/>
    <m/>
    <n v="6.4089999999999998"/>
    <n v="6.5670000000000002"/>
    <n v="1.30782"/>
    <n v="1.0987899999999999"/>
    <m/>
    <n v="0.80315000000000003"/>
    <n v="0.54993999999999998"/>
    <n v="0.17554"/>
    <n v="0.56237000000000004"/>
    <n v="1.9903200000000001"/>
    <x v="1"/>
  </r>
  <r>
    <x v="32"/>
    <x v="4"/>
    <n v="31"/>
    <n v="6.4809999999999999"/>
    <m/>
    <n v="6.3840000000000003"/>
    <n v="6.5780000000000003"/>
    <n v="1.0303199999999999"/>
    <n v="1.02169"/>
    <m/>
    <n v="0.59658999999999995"/>
    <n v="0.44735000000000003"/>
    <n v="5.3990000000000003E-2"/>
    <n v="0.15626000000000001"/>
    <n v="3.1747100000000001"/>
    <x v="1"/>
  </r>
  <r>
    <x v="28"/>
    <x v="0"/>
    <n v="32"/>
    <n v="6.4779999999999998"/>
    <m/>
    <n v="6.3970000000000002"/>
    <n v="6.5590000000000002"/>
    <n v="1.3948799999999999"/>
    <n v="1.00508"/>
    <m/>
    <n v="0.83794999999999997"/>
    <n v="0.46561999999999998"/>
    <n v="0.17807999999999999"/>
    <n v="0.1216"/>
    <n v="2.4744000000000002"/>
    <x v="1"/>
  </r>
  <r>
    <x v="33"/>
    <x v="5"/>
    <n v="33"/>
    <n v="6.4740000000000002"/>
    <m/>
    <n v="6.3959999999999999"/>
    <n v="6.5519999999999996"/>
    <n v="1.0892999999999999"/>
    <n v="1.04477"/>
    <m/>
    <n v="0.64915"/>
    <n v="0.49553000000000003"/>
    <n v="2.8330000000000001E-2"/>
    <n v="0.58696000000000004"/>
    <n v="2.5796000000000001"/>
    <x v="1"/>
  </r>
  <r>
    <x v="34"/>
    <x v="3"/>
    <n v="34"/>
    <n v="6.3789999999999996"/>
    <m/>
    <n v="6.2869999999999999"/>
    <n v="6.4710000000000001"/>
    <n v="1.48953"/>
    <n v="0.84828999999999999"/>
    <m/>
    <n v="0.59267000000000003"/>
    <n v="0.37903999999999999"/>
    <n v="0.30008000000000001"/>
    <n v="0.15457000000000001"/>
    <n v="2.6148199999999999"/>
    <x v="1"/>
  </r>
  <r>
    <x v="37"/>
    <x v="7"/>
    <n v="34"/>
    <n v="6.3789999999999996"/>
    <m/>
    <n v="6.3049999999999997"/>
    <n v="6.4530000000000003"/>
    <n v="1.3972899999999999"/>
    <n v="0.92623999999999995"/>
    <m/>
    <n v="0.79564999999999997"/>
    <n v="0.32377"/>
    <n v="6.6299999999999998E-2"/>
    <n v="0.25495000000000001"/>
    <n v="2.6152299999999999"/>
    <x v="1"/>
  </r>
  <r>
    <x v="27"/>
    <x v="3"/>
    <n v="36"/>
    <n v="6.375"/>
    <m/>
    <n v="6.1779999999999999"/>
    <n v="6.5720000000000001"/>
    <n v="1.8242700000000001"/>
    <n v="0.87963999999999998"/>
    <m/>
    <n v="0.71723000000000003"/>
    <n v="0.56679000000000002"/>
    <n v="0.48048999999999997"/>
    <n v="0.32388"/>
    <n v="1.5822400000000001"/>
    <x v="1"/>
  </r>
  <r>
    <x v="35"/>
    <x v="0"/>
    <n v="37"/>
    <n v="6.3609999999999998"/>
    <m/>
    <n v="6.2880000000000003"/>
    <n v="6.4340000000000002"/>
    <n v="1.34253"/>
    <n v="1.1294500000000001"/>
    <m/>
    <n v="0.87895999999999996"/>
    <n v="0.37545000000000001"/>
    <n v="6.1370000000000001E-2"/>
    <n v="0.17665"/>
    <n v="2.39663"/>
    <x v="1"/>
  </r>
  <r>
    <x v="67"/>
    <x v="3"/>
    <n v="38"/>
    <n v="6.3550000000000004"/>
    <m/>
    <n v="6.2270000000000003"/>
    <n v="6.4829999999999997"/>
    <n v="1.0526599999999999"/>
    <n v="0.83309"/>
    <m/>
    <n v="0.61804000000000003"/>
    <n v="0.21006"/>
    <n v="0.16156999999999999"/>
    <n v="7.0440000000000003E-2"/>
    <n v="3.4090400000000001"/>
    <x v="1"/>
  </r>
  <r>
    <x v="42"/>
    <x v="4"/>
    <n v="39"/>
    <n v="6.3239999999999998"/>
    <m/>
    <n v="6.2130000000000001"/>
    <n v="6.4349999999999996"/>
    <n v="0.83453999999999995"/>
    <n v="0.87119000000000002"/>
    <m/>
    <n v="0.54039000000000004"/>
    <n v="0.50378999999999996"/>
    <n v="8.7010000000000004E-2"/>
    <n v="0.28808"/>
    <n v="3.1986300000000001"/>
    <x v="1"/>
  </r>
  <r>
    <x v="39"/>
    <x v="4"/>
    <n v="40"/>
    <n v="6.2690000000000001"/>
    <m/>
    <n v="6.0730000000000004"/>
    <n v="6.4649999999999999"/>
    <n v="1.0968599999999999"/>
    <n v="0.77866000000000002"/>
    <m/>
    <n v="0.50932999999999995"/>
    <n v="0.52234000000000003"/>
    <n v="0.12692000000000001"/>
    <n v="0.16664999999999999"/>
    <n v="3.0685199999999999"/>
    <x v="1"/>
  </r>
  <r>
    <x v="38"/>
    <x v="3"/>
    <n v="41"/>
    <n v="6.2389999999999999"/>
    <m/>
    <n v="6.1539999999999999"/>
    <n v="6.3239999999999998"/>
    <n v="1.61714"/>
    <n v="0.87758000000000003"/>
    <m/>
    <n v="0.63568999999999998"/>
    <n v="0.43165999999999999"/>
    <n v="0.23669000000000001"/>
    <n v="0.15964999999999999"/>
    <n v="2.28085"/>
    <x v="1"/>
  </r>
  <r>
    <x v="48"/>
    <x v="3"/>
    <n v="42"/>
    <n v="6.218"/>
    <m/>
    <n v="6.1280000000000001"/>
    <n v="6.3079999999999998"/>
    <n v="1.44024"/>
    <n v="0.94396999999999998"/>
    <m/>
    <n v="0.65695999999999999"/>
    <n v="0.47375"/>
    <n v="0.25772"/>
    <n v="0.17147000000000001"/>
    <n v="2.2740499999999999"/>
    <x v="1"/>
  </r>
  <r>
    <x v="40"/>
    <x v="4"/>
    <n v="43"/>
    <n v="6.1680000000000001"/>
    <m/>
    <n v="5.95"/>
    <n v="6.3860000000000001"/>
    <n v="1.32572"/>
    <n v="0.98568999999999996"/>
    <m/>
    <n v="0.52607999999999999"/>
    <n v="0.48453000000000002"/>
    <n v="1.2409999999999999E-2"/>
    <n v="0.31935000000000002"/>
    <n v="2.5139399999999998"/>
    <x v="1"/>
  </r>
  <r>
    <x v="22"/>
    <x v="4"/>
    <n v="44"/>
    <n v="6.0839999999999996"/>
    <m/>
    <n v="5.9729999999999999"/>
    <n v="6.1950000000000003"/>
    <n v="1.13367"/>
    <n v="1.03302"/>
    <m/>
    <n v="0.61904000000000003"/>
    <n v="0.19847000000000001"/>
    <n v="8.3040000000000003E-2"/>
    <n v="4.2500000000000003E-2"/>
    <n v="2.9746800000000002"/>
    <x v="1"/>
  </r>
  <r>
    <x v="44"/>
    <x v="6"/>
    <n v="45"/>
    <n v="6.0780000000000003"/>
    <m/>
    <n v="5.9960000000000004"/>
    <n v="6.16"/>
    <n v="1.27973"/>
    <n v="1.0826800000000001"/>
    <m/>
    <n v="0.70367000000000002"/>
    <n v="0.23391000000000001"/>
    <n v="2.947E-2"/>
    <n v="0.13836999999999999"/>
    <n v="2.6106500000000001"/>
    <x v="1"/>
  </r>
  <r>
    <x v="41"/>
    <x v="4"/>
    <n v="46"/>
    <n v="6.0679999999999996"/>
    <m/>
    <n v="5.9669999999999996"/>
    <n v="6.1689999999999996"/>
    <n v="0.87370000000000003"/>
    <n v="0.80974999999999997"/>
    <m/>
    <n v="0.59599999999999997"/>
    <n v="0.37269000000000002"/>
    <n v="0.10613"/>
    <n v="8.8770000000000002E-2"/>
    <n v="3.2213400000000001"/>
    <x v="1"/>
  </r>
  <r>
    <x v="60"/>
    <x v="5"/>
    <n v="47"/>
    <n v="6.0049999999999999"/>
    <m/>
    <n v="5.9210000000000003"/>
    <n v="6.0890000000000004"/>
    <n v="1.25142"/>
    <n v="0.88024999999999998"/>
    <m/>
    <n v="0.62365999999999999"/>
    <n v="0.39030999999999999"/>
    <n v="9.0810000000000002E-2"/>
    <n v="0.41474"/>
    <n v="2.3538399999999999"/>
    <x v="1"/>
  </r>
  <r>
    <x v="56"/>
    <x v="4"/>
    <n v="48"/>
    <n v="5.992"/>
    <m/>
    <n v="5.8769999999999998"/>
    <n v="6.1070000000000002"/>
    <n v="0.69384000000000001"/>
    <n v="0.89520999999999995"/>
    <m/>
    <n v="0.65212999999999999"/>
    <n v="0.46582000000000001"/>
    <n v="0.16292000000000001"/>
    <n v="0.29772999999999999"/>
    <n v="2.8242799999999999"/>
    <x v="1"/>
  </r>
  <r>
    <x v="43"/>
    <x v="6"/>
    <n v="49"/>
    <n v="5.9870000000000001"/>
    <m/>
    <n v="5.8959999999999999"/>
    <n v="6.0780000000000003"/>
    <n v="0.73590999999999995"/>
    <n v="1.1680999999999999"/>
    <m/>
    <n v="0.50163000000000002"/>
    <n v="0.60848000000000002"/>
    <n v="0.28333000000000003"/>
    <n v="0.34326000000000001"/>
    <n v="2.3463799999999999"/>
    <x v="1"/>
  </r>
  <r>
    <x v="49"/>
    <x v="0"/>
    <n v="50"/>
    <n v="5.9770000000000003"/>
    <m/>
    <n v="5.8979999999999997"/>
    <n v="6.056"/>
    <n v="1.3549500000000001"/>
    <n v="1.0416700000000001"/>
    <m/>
    <n v="0.85102"/>
    <n v="0.18826999999999999"/>
    <n v="2.5559999999999999E-2"/>
    <n v="0.16683999999999999"/>
    <n v="2.34918"/>
    <x v="1"/>
  </r>
  <r>
    <x v="47"/>
    <x v="4"/>
    <n v="51"/>
    <n v="5.976"/>
    <m/>
    <n v="5.88"/>
    <n v="6.0720000000000001"/>
    <n v="0.97306000000000004"/>
    <n v="0.85973999999999995"/>
    <m/>
    <n v="0.68613000000000002"/>
    <n v="0.4027"/>
    <n v="0.18037"/>
    <n v="0.10074"/>
    <n v="2.77366"/>
    <x v="1"/>
  </r>
  <r>
    <x v="159"/>
    <x v="4"/>
    <n v="52"/>
    <n v="5.9560000000000004"/>
    <m/>
    <n v="5.71"/>
    <n v="6.202"/>
    <n v="0.87616000000000005"/>
    <n v="0.68654999999999999"/>
    <m/>
    <n v="0.45568999999999998"/>
    <n v="0.51231000000000004"/>
    <n v="0.10771"/>
    <n v="0.23683999999999999"/>
    <n v="3.08039"/>
    <x v="1"/>
  </r>
  <r>
    <x v="45"/>
    <x v="7"/>
    <n v="53"/>
    <n v="5.9210000000000003"/>
    <m/>
    <n v="5.85"/>
    <n v="5.992"/>
    <n v="1.3800699999999999"/>
    <n v="1.06054"/>
    <m/>
    <n v="0.91491"/>
    <n v="0.46761000000000003"/>
    <n v="0.18984999999999999"/>
    <n v="0.10224"/>
    <n v="1.8058399999999999"/>
    <x v="1"/>
  </r>
  <r>
    <x v="53"/>
    <x v="6"/>
    <n v="54"/>
    <n v="5.9189999999999996"/>
    <m/>
    <n v="5.8369999999999997"/>
    <n v="6.0010000000000003"/>
    <n v="1.22943"/>
    <n v="0.95543999999999996"/>
    <m/>
    <n v="0.57386000000000004"/>
    <n v="0.4052"/>
    <n v="0.11132"/>
    <n v="0.15010999999999999"/>
    <n v="2.4932500000000002"/>
    <x v="1"/>
  </r>
  <r>
    <x v="51"/>
    <x v="6"/>
    <n v="55"/>
    <n v="5.8970000000000002"/>
    <m/>
    <n v="5.8230000000000004"/>
    <n v="5.9710000000000001"/>
    <n v="0.69177"/>
    <n v="0.83131999999999995"/>
    <m/>
    <n v="0.52309000000000005"/>
    <n v="0.25202000000000002"/>
    <n v="1.9029999999999998E-2"/>
    <n v="0.19997000000000001"/>
    <n v="3.3800699999999999"/>
    <x v="1"/>
  </r>
  <r>
    <x v="63"/>
    <x v="6"/>
    <n v="56"/>
    <n v="5.8559999999999999"/>
    <m/>
    <n v="5.7889999999999997"/>
    <n v="5.923"/>
    <n v="1.23228"/>
    <n v="1.05261"/>
    <m/>
    <n v="0.58991000000000005"/>
    <n v="0.32682"/>
    <n v="3.5860000000000003E-2"/>
    <n v="2.7359999999999999E-2"/>
    <n v="2.5911499999999998"/>
    <x v="1"/>
  </r>
  <r>
    <x v="59"/>
    <x v="6"/>
    <n v="57"/>
    <n v="5.835"/>
    <m/>
    <n v="5.7489999999999997"/>
    <n v="5.9210000000000003"/>
    <n v="1.2458499999999999"/>
    <n v="1.0468500000000001"/>
    <m/>
    <n v="0.69057999999999997"/>
    <n v="0.45190000000000002"/>
    <n v="5.5E-2"/>
    <n v="0.14443"/>
    <n v="2.2003499999999998"/>
    <x v="1"/>
  </r>
  <r>
    <x v="46"/>
    <x v="7"/>
    <n v="57"/>
    <n v="5.835"/>
    <m/>
    <n v="5.7469999999999999"/>
    <n v="5.923"/>
    <n v="1.35948"/>
    <n v="0.72194000000000003"/>
    <m/>
    <n v="0.88644999999999996"/>
    <n v="0.25168000000000001"/>
    <n v="7.7160000000000006E-2"/>
    <n v="0.18823999999999999"/>
    <n v="2.3501500000000002"/>
    <x v="1"/>
  </r>
  <r>
    <x v="50"/>
    <x v="4"/>
    <n v="59"/>
    <n v="5.8220000000000001"/>
    <m/>
    <n v="5.74"/>
    <n v="5.9039999999999999"/>
    <n v="0.79422000000000004"/>
    <n v="0.83779000000000003"/>
    <m/>
    <n v="0.46970000000000001"/>
    <n v="0.50961000000000001"/>
    <n v="7.7460000000000001E-2"/>
    <n v="0.21698000000000001"/>
    <n v="2.91635"/>
    <x v="1"/>
  </r>
  <r>
    <x v="55"/>
    <x v="6"/>
    <n v="60"/>
    <n v="5.8129999999999997"/>
    <m/>
    <n v="5.734"/>
    <n v="5.8920000000000003"/>
    <n v="1.2692000000000001"/>
    <n v="1.0641099999999999"/>
    <m/>
    <n v="0.64673999999999998"/>
    <n v="0.18929000000000001"/>
    <n v="1.8200000000000001E-2"/>
    <n v="2.0250000000000001E-2"/>
    <n v="2.6052499999999998"/>
    <x v="1"/>
  </r>
  <r>
    <x v="58"/>
    <x v="6"/>
    <n v="61"/>
    <n v="5.8019999999999996"/>
    <m/>
    <n v="5.7229999999999999"/>
    <n v="5.8810000000000002"/>
    <n v="1.13062"/>
    <n v="1.04993"/>
    <m/>
    <n v="0.63104000000000005"/>
    <n v="0.29091"/>
    <n v="0.17457"/>
    <n v="0.13941999999999999"/>
    <n v="2.3858199999999998"/>
    <x v="1"/>
  </r>
  <r>
    <x v="65"/>
    <x v="0"/>
    <n v="62"/>
    <n v="5.7709999999999999"/>
    <m/>
    <n v="5.67"/>
    <n v="5.8719999999999999"/>
    <n v="1.31141"/>
    <n v="0.81825999999999999"/>
    <m/>
    <n v="0.84141999999999995"/>
    <n v="0.43596000000000001"/>
    <n v="0.16578000000000001"/>
    <n v="0.26322000000000001"/>
    <n v="1.9344699999999999"/>
    <x v="1"/>
  </r>
  <r>
    <x v="54"/>
    <x v="6"/>
    <n v="63"/>
    <n v="5.7679999999999998"/>
    <m/>
    <n v="5.6829999999999998"/>
    <n v="5.8529999999999998"/>
    <n v="1.2994699999999999"/>
    <n v="1.05613"/>
    <m/>
    <n v="0.79151000000000005"/>
    <n v="0.53164"/>
    <n v="3.635E-2"/>
    <n v="0.25738"/>
    <n v="1.79522"/>
    <x v="1"/>
  </r>
  <r>
    <x v="57"/>
    <x v="4"/>
    <n v="64"/>
    <n v="5.7430000000000003"/>
    <m/>
    <n v="5.6470000000000002"/>
    <n v="5.8390000000000004"/>
    <n v="0.99602000000000002"/>
    <n v="0.81254999999999999"/>
    <m/>
    <n v="0.62994000000000006"/>
    <n v="0.37502000000000002"/>
    <n v="5.2920000000000002E-2"/>
    <n v="0.14527000000000001"/>
    <n v="2.7311700000000001"/>
    <x v="1"/>
  </r>
  <r>
    <x v="69"/>
    <x v="6"/>
    <n v="65"/>
    <n v="5.6580000000000004"/>
    <m/>
    <n v="5.58"/>
    <n v="5.7359999999999998"/>
    <n v="1.0801700000000001"/>
    <n v="1.03817"/>
    <m/>
    <n v="0.44006000000000001"/>
    <n v="0.37408000000000002"/>
    <n v="0.28466999999999998"/>
    <n v="0.22567000000000001"/>
    <n v="2.21489"/>
    <x v="1"/>
  </r>
  <r>
    <x v="70"/>
    <x v="8"/>
    <n v="66"/>
    <n v="5.6479999999999997"/>
    <m/>
    <n v="5.5069999999999997"/>
    <n v="5.7889999999999997"/>
    <n v="1.1437200000000001"/>
    <n v="0.75695000000000001"/>
    <m/>
    <n v="0.66188999999999998"/>
    <n v="0.46145000000000003"/>
    <n v="5.203E-2"/>
    <n v="0.36951000000000001"/>
    <n v="2.2022300000000001"/>
    <x v="1"/>
  </r>
  <r>
    <x v="62"/>
    <x v="3"/>
    <n v="67"/>
    <n v="5.6150000000000002"/>
    <m/>
    <n v="5.4059999999999997"/>
    <n v="5.8239999999999998"/>
    <n v="1.0668800000000001"/>
    <n v="0.95076000000000005"/>
    <m/>
    <n v="0.52303999999999995"/>
    <n v="0.40672000000000003"/>
    <n v="0.10339"/>
    <n v="0.17086999999999999"/>
    <n v="2.3937400000000002"/>
    <x v="1"/>
  </r>
  <r>
    <x v="88"/>
    <x v="6"/>
    <n v="68"/>
    <n v="5.56"/>
    <m/>
    <n v="5.4859999999999998"/>
    <n v="5.6340000000000003"/>
    <n v="1.2178800000000001"/>
    <n v="0.95025000000000004"/>
    <m/>
    <n v="0.63951999999999998"/>
    <n v="0.27995999999999999"/>
    <n v="8.8900000000000007E-2"/>
    <n v="0.17444999999999999"/>
    <n v="2.2085900000000001"/>
    <x v="1"/>
  </r>
  <r>
    <x v="66"/>
    <x v="0"/>
    <n v="69"/>
    <n v="5.5460000000000003"/>
    <m/>
    <n v="5.4420000000000002"/>
    <n v="5.65"/>
    <n v="1.31857"/>
    <n v="0.70696999999999999"/>
    <m/>
    <n v="0.8488"/>
    <n v="0.29507"/>
    <n v="5.228E-2"/>
    <n v="0.27905999999999997"/>
    <n v="2.0449700000000002"/>
    <x v="1"/>
  </r>
  <r>
    <x v="52"/>
    <x v="4"/>
    <n v="70"/>
    <n v="5.5380000000000003"/>
    <m/>
    <n v="5.4530000000000003"/>
    <n v="5.6230000000000002"/>
    <n v="0.89373000000000002"/>
    <n v="1.11111"/>
    <m/>
    <n v="0.58294999999999997"/>
    <n v="0.46234999999999998"/>
    <n v="7.3959999999999998E-2"/>
    <n v="0.25296000000000002"/>
    <n v="2.1609099999999999"/>
    <x v="1"/>
  </r>
  <r>
    <x v="85"/>
    <x v="6"/>
    <n v="71"/>
    <n v="5.5279999999999996"/>
    <m/>
    <n v="5.4269999999999996"/>
    <n v="5.6289999999999996"/>
    <n v="1.1697"/>
    <n v="0.72802999999999995"/>
    <m/>
    <n v="0.67601999999999995"/>
    <n v="0.36712"/>
    <n v="6.79E-3"/>
    <n v="0.12889"/>
    <n v="2.4518399999999998"/>
    <x v="1"/>
  </r>
  <r>
    <x v="72"/>
    <x v="6"/>
    <n v="72"/>
    <n v="5.5170000000000003"/>
    <m/>
    <n v="5.4370000000000003"/>
    <n v="5.5970000000000004"/>
    <n v="1.2796400000000001"/>
    <n v="1.0516300000000001"/>
    <m/>
    <n v="0.68098000000000003"/>
    <n v="0.41510999999999998"/>
    <n v="0.18518999999999999"/>
    <n v="8.4229999999999999E-2"/>
    <n v="1.81985"/>
    <x v="1"/>
  </r>
  <r>
    <x v="64"/>
    <x v="4"/>
    <n v="73"/>
    <n v="5.51"/>
    <m/>
    <n v="5.3150000000000004"/>
    <n v="5.7050000000000001"/>
    <n v="0.89332999999999996"/>
    <n v="0.96372000000000002"/>
    <m/>
    <n v="0.59469000000000005"/>
    <n v="0.43597000000000002"/>
    <n v="4.2939999999999999E-2"/>
    <n v="0.22245000000000001"/>
    <n v="2.3568199999999999"/>
    <x v="1"/>
  </r>
  <r>
    <x v="61"/>
    <x v="6"/>
    <n v="74"/>
    <n v="5.4880000000000004"/>
    <m/>
    <n v="5.4020000000000001"/>
    <n v="5.5739999999999998"/>
    <n v="1.18649"/>
    <n v="0.60809000000000002"/>
    <m/>
    <n v="0.70523999999999998"/>
    <n v="0.23907"/>
    <n v="4.002E-2"/>
    <n v="0.18434"/>
    <n v="2.5246200000000001"/>
    <x v="1"/>
  </r>
  <r>
    <x v="71"/>
    <x v="7"/>
    <n v="75"/>
    <n v="5.4580000000000002"/>
    <m/>
    <n v="5.3620000000000001"/>
    <n v="5.5540000000000003"/>
    <n v="1.5106999999999999"/>
    <n v="0.87021000000000004"/>
    <m/>
    <n v="0.95277000000000001"/>
    <n v="0.48079"/>
    <n v="0.31646999999999997"/>
    <n v="0.40096999999999999"/>
    <n v="0.92613999999999996"/>
    <x v="1"/>
  </r>
  <r>
    <x v="160"/>
    <x v="8"/>
    <n v="76"/>
    <n v="5.44"/>
    <m/>
    <n v="5.3209999999999997"/>
    <n v="5.5590000000000002"/>
    <n v="0"/>
    <n v="0.33612999999999998"/>
    <m/>
    <n v="0.11466"/>
    <n v="0.56777999999999995"/>
    <n v="0.31180000000000002"/>
    <n v="0.27224999999999999"/>
    <n v="3.83772"/>
    <x v="1"/>
  </r>
  <r>
    <x v="68"/>
    <x v="6"/>
    <n v="77"/>
    <n v="5.4009999999999998"/>
    <m/>
    <n v="5.3079999999999998"/>
    <n v="5.4939999999999998"/>
    <n v="0.90144999999999997"/>
    <n v="0.66061999999999999"/>
    <m/>
    <n v="0.54"/>
    <n v="0.14396"/>
    <n v="6.547E-2"/>
    <n v="0.27992"/>
    <n v="2.8099799999999999"/>
    <x v="1"/>
  </r>
  <r>
    <x v="75"/>
    <x v="3"/>
    <n v="78"/>
    <n v="5.3890000000000002"/>
    <m/>
    <n v="5.2949999999999999"/>
    <n v="5.4829999999999997"/>
    <n v="1.16492"/>
    <n v="0.87717000000000001"/>
    <m/>
    <n v="0.64717999999999998"/>
    <n v="0.23888999999999999"/>
    <n v="0.12348000000000001"/>
    <n v="4.7070000000000001E-2"/>
    <n v="2.29074"/>
    <x v="1"/>
  </r>
  <r>
    <x v="73"/>
    <x v="5"/>
    <n v="79"/>
    <n v="5.3140000000000001"/>
    <m/>
    <n v="5.2370000000000001"/>
    <n v="5.391"/>
    <n v="0.95104"/>
    <n v="0.87624999999999997"/>
    <m/>
    <n v="0.49374000000000001"/>
    <n v="0.39237"/>
    <n v="3.2200000000000002E-3"/>
    <n v="0.56520999999999999"/>
    <n v="2.0317099999999999"/>
    <x v="1"/>
  </r>
  <r>
    <x v="81"/>
    <x v="3"/>
    <n v="80"/>
    <n v="5.3029999999999999"/>
    <m/>
    <n v="5.1870000000000003"/>
    <n v="5.4189999999999996"/>
    <n v="0.99673"/>
    <n v="0.86216000000000004"/>
    <m/>
    <n v="0.60711999999999999"/>
    <n v="0.36022999999999999"/>
    <n v="0.13297"/>
    <n v="0.14262"/>
    <n v="2.2014200000000002"/>
    <x v="1"/>
  </r>
  <r>
    <x v="79"/>
    <x v="6"/>
    <n v="81"/>
    <n v="5.2910000000000004"/>
    <m/>
    <n v="5.226"/>
    <n v="5.3559999999999999"/>
    <n v="1.1237299999999999"/>
    <n v="0.76041999999999998"/>
    <m/>
    <n v="0.54503999999999997"/>
    <n v="0.35326999999999997"/>
    <n v="0.17913999999999999"/>
    <n v="5.6399999999999999E-2"/>
    <n v="2.2734999999999999"/>
    <x v="1"/>
  </r>
  <r>
    <x v="89"/>
    <x v="5"/>
    <n v="82"/>
    <n v="5.2789999999999999"/>
    <m/>
    <n v="5.16"/>
    <n v="5.3979999999999997"/>
    <n v="0.81216999999999995"/>
    <n v="0.87877000000000005"/>
    <m/>
    <n v="0.47036"/>
    <n v="0.54854000000000003"/>
    <n v="0.11756999999999999"/>
    <n v="0.21673999999999999"/>
    <n v="2.2348400000000002"/>
    <x v="1"/>
  </r>
  <r>
    <x v="83"/>
    <x v="7"/>
    <n v="83"/>
    <n v="5.2450000000000001"/>
    <m/>
    <n v="5.1989999999999998"/>
    <n v="5.2910000000000004"/>
    <n v="1.0278"/>
    <n v="0.79381000000000002"/>
    <m/>
    <n v="0.73560999999999999"/>
    <n v="0.44012000000000001"/>
    <n v="2.7449999999999999E-2"/>
    <n v="4.9590000000000002E-2"/>
    <n v="2.1708699999999999"/>
    <x v="1"/>
  </r>
  <r>
    <x v="78"/>
    <x v="9"/>
    <n v="84"/>
    <n v="5.1959999999999997"/>
    <m/>
    <n v="5.1379999999999999"/>
    <n v="5.2539999999999996"/>
    <n v="0.85270000000000001"/>
    <n v="0.90835999999999995"/>
    <m/>
    <n v="0.49758999999999998"/>
    <n v="0.46073999999999998"/>
    <n v="0.16159999999999999"/>
    <n v="0.48546"/>
    <n v="1.8291599999999999"/>
    <x v="1"/>
  </r>
  <r>
    <x v="76"/>
    <x v="6"/>
    <n v="85"/>
    <n v="5.1849999999999996"/>
    <m/>
    <n v="5.1029999999999998"/>
    <n v="5.2670000000000003"/>
    <n v="0.56044000000000005"/>
    <n v="0.95433999999999997"/>
    <m/>
    <n v="0.55449000000000004"/>
    <n v="0.40211999999999998"/>
    <n v="4.7620000000000003E-2"/>
    <n v="0.38431999999999999"/>
    <n v="2.2813599999999998"/>
    <x v="1"/>
  </r>
  <r>
    <x v="86"/>
    <x v="6"/>
    <n v="86"/>
    <n v="5.1769999999999996"/>
    <m/>
    <n v="5.0830000000000002"/>
    <n v="5.2709999999999999"/>
    <n v="1.03437"/>
    <n v="0.81328999999999996"/>
    <m/>
    <n v="0.64580000000000004"/>
    <n v="0.15717999999999999"/>
    <n v="4.3389999999999998E-2"/>
    <n v="0.20737"/>
    <n v="2.2753899999999998"/>
    <x v="1"/>
  </r>
  <r>
    <x v="95"/>
    <x v="6"/>
    <n v="87"/>
    <n v="5.1630000000000003"/>
    <m/>
    <n v="5.0629999999999997"/>
    <n v="5.2629999999999999"/>
    <n v="0.93383000000000005"/>
    <n v="0.64366999999999996"/>
    <m/>
    <n v="0.70765999999999996"/>
    <n v="9.511E-2"/>
    <n v="0"/>
    <n v="0.29888999999999999"/>
    <n v="2.4840599999999999"/>
    <x v="1"/>
  </r>
  <r>
    <x v="82"/>
    <x v="6"/>
    <n v="88"/>
    <n v="5.1609999999999996"/>
    <m/>
    <n v="5.0549999999999997"/>
    <n v="5.2670000000000003"/>
    <n v="1.0783799999999999"/>
    <n v="0.74173"/>
    <m/>
    <n v="0.63532999999999995"/>
    <n v="0.15110999999999999"/>
    <n v="0.12720999999999999"/>
    <n v="0.17191000000000001"/>
    <n v="2.2553100000000001"/>
    <x v="1"/>
  </r>
  <r>
    <x v="97"/>
    <x v="4"/>
    <n v="89"/>
    <n v="5.1550000000000002"/>
    <m/>
    <n v="5.0369999999999999"/>
    <n v="5.2729999999999997"/>
    <n v="1.0278700000000001"/>
    <n v="0.99495999999999996"/>
    <m/>
    <n v="0.57669000000000004"/>
    <n v="0.52259"/>
    <n v="0.12372"/>
    <n v="0.21285999999999999"/>
    <n v="1.6962600000000001"/>
    <x v="1"/>
  </r>
  <r>
    <x v="91"/>
    <x v="3"/>
    <n v="90"/>
    <n v="5.1509999999999998"/>
    <m/>
    <n v="5.0579999999999998"/>
    <n v="5.2439999999999998"/>
    <n v="0.84057999999999999"/>
    <n v="0.38595000000000002"/>
    <m/>
    <n v="0.59470999999999996"/>
    <n v="0.25646000000000002"/>
    <n v="8.4040000000000004E-2"/>
    <n v="4.0529999999999997E-2"/>
    <n v="2.9489100000000001"/>
    <x v="1"/>
  </r>
  <r>
    <x v="103"/>
    <x v="6"/>
    <n v="91"/>
    <n v="5.1449999999999996"/>
    <m/>
    <n v="5.056"/>
    <n v="5.234"/>
    <n v="1.24142"/>
    <n v="0.93164000000000002"/>
    <m/>
    <n v="0.67608000000000001"/>
    <n v="0.19769999999999999"/>
    <n v="4.4720000000000003E-2"/>
    <n v="9.9000000000000005E-2"/>
    <n v="1.9547300000000001"/>
    <x v="1"/>
  </r>
  <r>
    <x v="80"/>
    <x v="9"/>
    <n v="92"/>
    <n v="5.1319999999999997"/>
    <m/>
    <n v="5.0380000000000003"/>
    <n v="5.226"/>
    <n v="0.68815999999999999"/>
    <n v="0.26135000000000003"/>
    <m/>
    <n v="0.40305999999999997"/>
    <n v="0.14621999999999999"/>
    <n v="0.13880000000000001"/>
    <n v="0.31185000000000002"/>
    <n v="3.1828599999999998"/>
    <x v="1"/>
  </r>
  <r>
    <x v="102"/>
    <x v="3"/>
    <n v="93"/>
    <n v="5.1289999999999996"/>
    <m/>
    <n v="5.0309999999999997"/>
    <n v="5.2270000000000003"/>
    <n v="1.1226799999999999"/>
    <n v="0.64183999999999997"/>
    <m/>
    <n v="0.76171"/>
    <n v="0.26228000000000001"/>
    <n v="3.0609999999999998E-2"/>
    <n v="0.23693"/>
    <n v="2.0733899999999998"/>
    <x v="1"/>
  </r>
  <r>
    <x v="87"/>
    <x v="0"/>
    <n v="94"/>
    <n v="5.1230000000000002"/>
    <m/>
    <n v="5.03"/>
    <n v="5.2160000000000002"/>
    <n v="1.27607"/>
    <n v="0.94367000000000001"/>
    <m/>
    <n v="0.79362999999999995"/>
    <n v="0.44727"/>
    <n v="1.521E-2"/>
    <n v="0.11691"/>
    <n v="1.5301499999999999"/>
    <x v="1"/>
  </r>
  <r>
    <x v="92"/>
    <x v="6"/>
    <n v="95"/>
    <n v="5.1210000000000004"/>
    <m/>
    <n v="5.0170000000000003"/>
    <n v="5.2249999999999996"/>
    <n v="1.0193000000000001"/>
    <n v="0.78236000000000006"/>
    <m/>
    <n v="0.64737999999999996"/>
    <n v="0.27667999999999998"/>
    <n v="7.0470000000000005E-2"/>
    <n v="0.23507"/>
    <n v="2.0894699999999999"/>
    <x v="1"/>
  </r>
  <r>
    <x v="74"/>
    <x v="5"/>
    <n v="96"/>
    <n v="5.0609999999999999"/>
    <m/>
    <n v="4.9909999999999997"/>
    <n v="5.1310000000000002"/>
    <n v="0.74036999999999997"/>
    <n v="0.79117000000000004"/>
    <m/>
    <n v="0.66156999999999999"/>
    <n v="0.55954000000000004"/>
    <n v="0.11556"/>
    <n v="0.25074999999999997"/>
    <n v="1.9418"/>
    <x v="1"/>
  </r>
  <r>
    <x v="90"/>
    <x v="8"/>
    <n v="97"/>
    <n v="5.0570000000000004"/>
    <m/>
    <n v="4.9340000000000002"/>
    <n v="5.18"/>
    <n v="0.25557999999999997"/>
    <n v="0.75861999999999996"/>
    <m/>
    <n v="0.33107999999999999"/>
    <n v="0.39129999999999998"/>
    <n v="0.36793999999999999"/>
    <n v="0.51478999999999997"/>
    <n v="2.4380099999999998"/>
    <x v="1"/>
  </r>
  <r>
    <x v="106"/>
    <x v="3"/>
    <n v="98"/>
    <n v="5.0449999999999999"/>
    <m/>
    <n v="4.9649999999999999"/>
    <n v="5.125"/>
    <n v="0.97724"/>
    <n v="0.43164999999999998"/>
    <m/>
    <n v="0.59577000000000002"/>
    <n v="0.23552999999999999"/>
    <n v="8.1699999999999995E-2"/>
    <n v="3.9359999999999999E-2"/>
    <n v="2.6841300000000001"/>
    <x v="1"/>
  </r>
  <r>
    <x v="101"/>
    <x v="0"/>
    <n v="99"/>
    <n v="5.0330000000000004"/>
    <m/>
    <n v="4.9349999999999996"/>
    <n v="5.1310000000000002"/>
    <n v="1.2488600000000001"/>
    <n v="0.75473000000000001"/>
    <m/>
    <n v="0.80028999999999995"/>
    <n v="5.8220000000000001E-2"/>
    <n v="4.1270000000000001E-2"/>
    <n v="0"/>
    <n v="2.1294400000000002"/>
    <x v="1"/>
  </r>
  <r>
    <x v="105"/>
    <x v="6"/>
    <n v="100"/>
    <n v="4.9960000000000004"/>
    <m/>
    <n v="4.923"/>
    <n v="5.069"/>
    <n v="0.48835000000000001"/>
    <n v="0.75602000000000003"/>
    <m/>
    <n v="0.53119000000000005"/>
    <n v="0.43408000000000002"/>
    <n v="0.13508999999999999"/>
    <n v="0.25997999999999999"/>
    <n v="2.39106"/>
    <x v="1"/>
  </r>
  <r>
    <x v="99"/>
    <x v="7"/>
    <n v="101"/>
    <n v="4.907"/>
    <m/>
    <n v="4.8380000000000001"/>
    <n v="4.976"/>
    <n v="0.98853000000000002"/>
    <n v="1.0898300000000001"/>
    <m/>
    <n v="0.55469000000000002"/>
    <n v="0.35971999999999998"/>
    <n v="3.2849999999999997E-2"/>
    <n v="0.34538999999999997"/>
    <n v="1.53586"/>
    <x v="1"/>
  </r>
  <r>
    <x v="98"/>
    <x v="5"/>
    <n v="102"/>
    <n v="4.8760000000000003"/>
    <m/>
    <n v="4.742"/>
    <n v="5.01"/>
    <n v="0.68042000000000002"/>
    <n v="0.54969999999999997"/>
    <m/>
    <n v="0.38290999999999997"/>
    <n v="0.52168000000000003"/>
    <n v="0.22423000000000001"/>
    <n v="0.43079000000000001"/>
    <n v="2.0863700000000001"/>
    <x v="1"/>
  </r>
  <r>
    <x v="77"/>
    <x v="8"/>
    <n v="103"/>
    <n v="4.875"/>
    <m/>
    <n v="4.75"/>
    <n v="5"/>
    <n v="0.75216000000000005"/>
    <n v="0.64498"/>
    <m/>
    <n v="5.108E-2"/>
    <n v="0.27854000000000001"/>
    <n v="3.0499999999999999E-2"/>
    <n v="0.23219000000000001"/>
    <n v="2.8858600000000001"/>
    <x v="1"/>
  </r>
  <r>
    <x v="104"/>
    <x v="4"/>
    <n v="104"/>
    <n v="4.8710000000000004"/>
    <m/>
    <n v="4.75"/>
    <n v="4.992"/>
    <n v="0.69428999999999996"/>
    <n v="0.75595999999999997"/>
    <m/>
    <n v="0.58382999999999996"/>
    <n v="0.26755000000000001"/>
    <n v="6.9059999999999996E-2"/>
    <n v="0.2044"/>
    <n v="2.2955100000000002"/>
    <x v="1"/>
  </r>
  <r>
    <x v="109"/>
    <x v="3"/>
    <n v="105"/>
    <n v="4.8129999999999997"/>
    <m/>
    <n v="4.7030000000000003"/>
    <n v="4.923"/>
    <n v="1.11758"/>
    <n v="0.38857000000000003"/>
    <m/>
    <n v="0.64232"/>
    <n v="0.22544"/>
    <n v="5.57E-2"/>
    <n v="0.38538"/>
    <n v="1.99817"/>
    <x v="1"/>
  </r>
  <r>
    <x v="84"/>
    <x v="8"/>
    <n v="106"/>
    <n v="4.7949999999999999"/>
    <m/>
    <n v="4.6449999999999996"/>
    <n v="4.9450000000000003"/>
    <n v="0.61202000000000001"/>
    <n v="0.63759999999999994"/>
    <m/>
    <n v="0.23573"/>
    <n v="0.42662"/>
    <n v="0.11479"/>
    <n v="0.17866000000000001"/>
    <n v="2.5899100000000002"/>
    <x v="1"/>
  </r>
  <r>
    <x v="120"/>
    <x v="9"/>
    <n v="107"/>
    <n v="4.7930000000000001"/>
    <m/>
    <n v="4.6980000000000004"/>
    <n v="4.8879999999999999"/>
    <n v="0.44625999999999999"/>
    <n v="0.69699"/>
    <m/>
    <n v="0.50073000000000001"/>
    <n v="0.37012"/>
    <n v="7.0080000000000003E-2"/>
    <n v="0.38159999999999999"/>
    <n v="2.32694"/>
    <x v="1"/>
  </r>
  <r>
    <x v="107"/>
    <x v="3"/>
    <n v="108"/>
    <n v="4.7539999999999996"/>
    <m/>
    <n v="4.649"/>
    <n v="4.859"/>
    <n v="0.67023999999999995"/>
    <n v="0.71628999999999998"/>
    <m/>
    <n v="0.56843999999999995"/>
    <n v="0.17743999999999999"/>
    <n v="0.10613"/>
    <n v="0.11154"/>
    <n v="2.4036400000000002"/>
    <x v="1"/>
  </r>
  <r>
    <x v="94"/>
    <x v="6"/>
    <n v="109"/>
    <n v="4.6550000000000002"/>
    <m/>
    <n v="4.5460000000000003"/>
    <n v="4.7640000000000002"/>
    <n v="0.95530000000000004"/>
    <n v="0.50163000000000002"/>
    <m/>
    <n v="0.73007"/>
    <n v="0.31866"/>
    <n v="5.3010000000000002E-2"/>
    <n v="0.16839999999999999"/>
    <n v="1.9281600000000001"/>
    <x v="1"/>
  </r>
  <r>
    <x v="108"/>
    <x v="9"/>
    <n v="110"/>
    <n v="4.6429999999999998"/>
    <m/>
    <n v="4.5599999999999996"/>
    <n v="4.726"/>
    <n v="0.54176999999999997"/>
    <n v="0.24748999999999999"/>
    <m/>
    <n v="0.52988999999999997"/>
    <n v="0.39778000000000002"/>
    <n v="0.12583"/>
    <n v="0.19131999999999999"/>
    <n v="2.6090399999999998"/>
    <x v="1"/>
  </r>
  <r>
    <x v="122"/>
    <x v="8"/>
    <n v="111"/>
    <n v="4.6349999999999998"/>
    <m/>
    <n v="4.5049999999999999"/>
    <n v="4.7649999999999997"/>
    <n v="0.36485000000000001"/>
    <n v="0.628"/>
    <m/>
    <n v="0"/>
    <n v="0.30685000000000001"/>
    <n v="8.1960000000000005E-2"/>
    <n v="0.23896999999999999"/>
    <n v="3.0140199999999999"/>
    <x v="1"/>
  </r>
  <r>
    <x v="111"/>
    <x v="3"/>
    <n v="112"/>
    <n v="4.5750000000000002"/>
    <m/>
    <n v="4.4459999999999997"/>
    <n v="4.7039999999999997"/>
    <n v="1.07474"/>
    <n v="0.59204999999999997"/>
    <m/>
    <n v="0.51075999999999999"/>
    <n v="0.24856"/>
    <n v="0.13636000000000001"/>
    <n v="0.19589000000000001"/>
    <n v="1.81657"/>
    <x v="1"/>
  </r>
  <r>
    <x v="161"/>
    <x v="8"/>
    <n v="113"/>
    <n v="4.5739999999999998"/>
    <m/>
    <n v="4.3739999999999997"/>
    <n v="4.774"/>
    <n v="0.93286999999999998"/>
    <n v="0.70362000000000002"/>
    <m/>
    <n v="0.34744999999999998"/>
    <n v="0.48614000000000002"/>
    <n v="0.10398"/>
    <n v="7.7950000000000005E-2"/>
    <n v="1.92198"/>
    <x v="1"/>
  </r>
  <r>
    <x v="132"/>
    <x v="8"/>
    <n v="114"/>
    <n v="4.5129999999999999"/>
    <m/>
    <n v="4.4169999999999998"/>
    <n v="4.609"/>
    <n v="0.52497000000000005"/>
    <n v="0.62541999999999998"/>
    <m/>
    <n v="0.12698000000000001"/>
    <n v="0.42736000000000002"/>
    <n v="6.1260000000000002E-2"/>
    <n v="0.2268"/>
    <n v="2.5198"/>
    <x v="1"/>
  </r>
  <r>
    <x v="121"/>
    <x v="8"/>
    <n v="115"/>
    <n v="4.508"/>
    <m/>
    <n v="4.4249999999999998"/>
    <n v="4.5910000000000002"/>
    <n v="0.29282999999999998"/>
    <n v="0.37931999999999999"/>
    <m/>
    <n v="0.34577999999999998"/>
    <n v="0.36703000000000002"/>
    <n v="0.17169999999999999"/>
    <n v="0.29521999999999998"/>
    <n v="2.6561400000000002"/>
    <x v="1"/>
  </r>
  <r>
    <x v="112"/>
    <x v="8"/>
    <n v="116"/>
    <n v="4.4589999999999996"/>
    <m/>
    <n v="4.3710000000000004"/>
    <n v="4.5469999999999997"/>
    <n v="1.02416"/>
    <n v="0.96052999999999999"/>
    <m/>
    <n v="0.18611"/>
    <n v="0.42482999999999999"/>
    <n v="8.4150000000000003E-2"/>
    <n v="0.13655999999999999"/>
    <n v="1.6422699999999999"/>
    <x v="1"/>
  </r>
  <r>
    <x v="131"/>
    <x v="9"/>
    <n v="117"/>
    <n v="4.415"/>
    <m/>
    <n v="4.3220000000000001"/>
    <n v="4.508"/>
    <n v="0.97318000000000005"/>
    <n v="0.84782999999999997"/>
    <m/>
    <n v="0.62007000000000001"/>
    <n v="0.50817000000000001"/>
    <n v="7.9640000000000002E-2"/>
    <n v="0.46977999999999998"/>
    <n v="0.91681000000000001"/>
    <x v="1"/>
  </r>
  <r>
    <x v="116"/>
    <x v="9"/>
    <n v="118"/>
    <n v="4.4039999999999999"/>
    <m/>
    <n v="4.351"/>
    <n v="4.4569999999999999"/>
    <n v="0.74036000000000002"/>
    <n v="0.29247000000000001"/>
    <m/>
    <n v="0.45090999999999998"/>
    <n v="0.40284999999999999"/>
    <n v="8.7220000000000006E-2"/>
    <n v="0.25028"/>
    <n v="2.18032"/>
    <x v="1"/>
  </r>
  <r>
    <x v="128"/>
    <x v="5"/>
    <n v="119"/>
    <n v="4.3949999999999996"/>
    <m/>
    <n v="4.327"/>
    <n v="4.4630000000000001"/>
    <n v="0.34111999999999998"/>
    <n v="0.69981000000000004"/>
    <m/>
    <n v="0.39879999999999999"/>
    <n v="0.42692000000000002"/>
    <n v="0.20243"/>
    <n v="0.81971000000000005"/>
    <n v="1.5065500000000001"/>
    <x v="1"/>
  </r>
  <r>
    <x v="134"/>
    <x v="3"/>
    <n v="120"/>
    <n v="4.3620000000000001"/>
    <m/>
    <n v="4.2590000000000003"/>
    <n v="4.4649999999999999"/>
    <n v="0.95394999999999996"/>
    <n v="0.49813000000000002"/>
    <m/>
    <n v="0.52115999999999996"/>
    <n v="0.18847"/>
    <n v="0.10392999999999999"/>
    <n v="0.12706000000000001"/>
    <n v="1.96895"/>
    <x v="1"/>
  </r>
  <r>
    <x v="126"/>
    <x v="6"/>
    <n v="121"/>
    <n v="4.3600000000000003"/>
    <m/>
    <n v="4.266"/>
    <n v="4.4539999999999997"/>
    <n v="0.86085999999999996"/>
    <n v="0.62477000000000005"/>
    <m/>
    <n v="0.64083000000000001"/>
    <n v="0.14036999999999999"/>
    <n v="3.6159999999999998E-2"/>
    <n v="7.7929999999999999E-2"/>
    <n v="1.97864"/>
    <x v="1"/>
  </r>
  <r>
    <x v="124"/>
    <x v="8"/>
    <n v="122"/>
    <n v="4.3559999999999999"/>
    <m/>
    <n v="4.2590000000000003"/>
    <n v="4.4530000000000003"/>
    <n v="0.52266999999999997"/>
    <n v="0.76239999999999997"/>
    <m/>
    <n v="0.30147000000000002"/>
    <n v="0.40576000000000001"/>
    <n v="6.6860000000000003E-2"/>
    <n v="0.41327999999999998"/>
    <n v="1.8832599999999999"/>
    <x v="1"/>
  </r>
  <r>
    <x v="110"/>
    <x v="6"/>
    <n v="123"/>
    <n v="4.3239999999999998"/>
    <m/>
    <n v="4.2359999999999998"/>
    <n v="4.4119999999999999"/>
    <n v="0.87287000000000003"/>
    <n v="1.01413"/>
    <m/>
    <n v="0.58628000000000002"/>
    <n v="0.12859000000000001"/>
    <n v="1.8290000000000001E-2"/>
    <n v="0.20363000000000001"/>
    <n v="1.5006600000000001"/>
    <x v="1"/>
  </r>
  <r>
    <x v="113"/>
    <x v="8"/>
    <n v="124"/>
    <n v="4.2759999999999998"/>
    <m/>
    <n v="4.1849999999999996"/>
    <n v="4.367"/>
    <n v="0.63107000000000002"/>
    <n v="0.49353000000000002"/>
    <m/>
    <n v="0.29681000000000002"/>
    <n v="0.40972999999999998"/>
    <n v="3.2599999999999997E-2"/>
    <n v="0.21203"/>
    <n v="2.2002000000000002"/>
    <x v="1"/>
  </r>
  <r>
    <x v="119"/>
    <x v="8"/>
    <n v="125"/>
    <n v="4.2720000000000002"/>
    <m/>
    <n v="4.1909999999999998"/>
    <n v="4.3529999999999998"/>
    <n v="5.6610000000000001E-2"/>
    <n v="0.80676000000000003"/>
    <m/>
    <n v="0.188"/>
    <n v="0.15601999999999999"/>
    <n v="6.0749999999999998E-2"/>
    <n v="0.25457999999999997"/>
    <n v="2.7492399999999999"/>
    <x v="1"/>
  </r>
  <r>
    <x v="129"/>
    <x v="6"/>
    <n v="126"/>
    <n v="4.2519999999999998"/>
    <m/>
    <n v="4.1639999999999997"/>
    <n v="4.34"/>
    <n v="0.83792"/>
    <n v="0.19248999999999999"/>
    <m/>
    <n v="0.64034999999999997"/>
    <n v="0.32461000000000001"/>
    <n v="0.31879999999999997"/>
    <n v="6.7860000000000004E-2"/>
    <n v="1.8703099999999999"/>
    <x v="1"/>
  </r>
  <r>
    <x v="138"/>
    <x v="8"/>
    <n v="127"/>
    <n v="4.2359999999999998"/>
    <m/>
    <n v="4.1070000000000002"/>
    <n v="4.3650000000000002"/>
    <n v="0.77109000000000005"/>
    <n v="0.47799000000000003"/>
    <m/>
    <n v="0.28211999999999998"/>
    <n v="0.37938"/>
    <n v="9.7530000000000006E-2"/>
    <n v="0.12077"/>
    <n v="2.1068099999999998"/>
    <x v="1"/>
  </r>
  <r>
    <x v="141"/>
    <x v="8"/>
    <n v="128"/>
    <n v="4.2190000000000003"/>
    <m/>
    <n v="4.1509999999999998"/>
    <n v="4.2869999999999999"/>
    <n v="0.44313999999999998"/>
    <n v="0.77415999999999996"/>
    <m/>
    <n v="0.40456999999999999"/>
    <n v="0.31056"/>
    <n v="0.11681"/>
    <n v="0.19103000000000001"/>
    <n v="1.97861"/>
    <x v="1"/>
  </r>
  <r>
    <x v="133"/>
    <x v="6"/>
    <n v="129"/>
    <n v="4.2169999999999996"/>
    <m/>
    <n v="4.1040000000000001"/>
    <n v="4.33"/>
    <n v="1.1130599999999999"/>
    <n v="0.92542000000000002"/>
    <m/>
    <n v="0.67806"/>
    <n v="0.21218999999999999"/>
    <n v="6.1500000000000001E-3"/>
    <n v="0.12792999999999999"/>
    <n v="1.15377"/>
    <x v="1"/>
  </r>
  <r>
    <x v="123"/>
    <x v="8"/>
    <n v="130"/>
    <n v="4.2009999999999996"/>
    <m/>
    <n v="4.1269999999999998"/>
    <n v="4.2750000000000004"/>
    <n v="0.61390999999999996"/>
    <n v="0.84141999999999995"/>
    <m/>
    <n v="0.28638999999999998"/>
    <n v="0.1268"/>
    <n v="0.17954999999999999"/>
    <n v="0.22686000000000001"/>
    <n v="1.9262999999999999"/>
    <x v="1"/>
  </r>
  <r>
    <x v="114"/>
    <x v="8"/>
    <n v="131"/>
    <n v="4.1929999999999996"/>
    <m/>
    <n v="4.101"/>
    <n v="4.2850000000000001"/>
    <n v="0.35041"/>
    <n v="0.71477999999999997"/>
    <m/>
    <n v="0.1595"/>
    <n v="0.25429000000000002"/>
    <n v="8.5819999999999994E-2"/>
    <n v="0.18503"/>
    <n v="2.4426999999999999"/>
    <x v="1"/>
  </r>
  <r>
    <x v="130"/>
    <x v="8"/>
    <n v="132"/>
    <n v="4.1559999999999997"/>
    <m/>
    <n v="4.0410000000000004"/>
    <n v="4.2709999999999999"/>
    <n v="8.7090000000000001E-2"/>
    <n v="0.14699999999999999"/>
    <m/>
    <n v="0.29364000000000001"/>
    <n v="0.4143"/>
    <n v="7.5639999999999999E-2"/>
    <n v="0.30968000000000001"/>
    <n v="2.8285900000000002"/>
    <x v="1"/>
  </r>
  <r>
    <x v="117"/>
    <x v="8"/>
    <n v="133"/>
    <n v="4.1390000000000002"/>
    <m/>
    <n v="3.9279999999999999"/>
    <n v="4.3499999999999996"/>
    <n v="0.63068999999999997"/>
    <n v="0.81928000000000001"/>
    <m/>
    <n v="0.29759000000000002"/>
    <n v="0"/>
    <n v="0.10038999999999999"/>
    <n v="0.18076999999999999"/>
    <n v="2.10995"/>
    <x v="1"/>
  </r>
  <r>
    <x v="142"/>
    <x v="8"/>
    <n v="134"/>
    <n v="4.1210000000000004"/>
    <m/>
    <n v="4.03"/>
    <n v="4.2119999999999997"/>
    <n v="1.1585099999999999"/>
    <n v="0.72367999999999999"/>
    <m/>
    <n v="0.34939999999999999"/>
    <n v="0.28098000000000001"/>
    <n v="9.3140000000000001E-2"/>
    <n v="6.2440000000000002E-2"/>
    <n v="1.4533199999999999"/>
    <x v="1"/>
  </r>
  <r>
    <x v="137"/>
    <x v="8"/>
    <n v="135"/>
    <n v="4.0730000000000004"/>
    <m/>
    <n v="3.988"/>
    <n v="4.1580000000000004"/>
    <n v="0.31291999999999998"/>
    <n v="0.86333000000000004"/>
    <m/>
    <n v="0.16347"/>
    <n v="0.27544000000000002"/>
    <n v="0.13647000000000001"/>
    <n v="0.21063999999999999"/>
    <n v="2.1108699999999998"/>
    <x v="1"/>
  </r>
  <r>
    <x v="118"/>
    <x v="4"/>
    <n v="136"/>
    <n v="4.0279999999999996"/>
    <m/>
    <n v="3.8929999999999998"/>
    <n v="4.1630000000000003"/>
    <n v="0.34097"/>
    <n v="0.29560999999999998"/>
    <m/>
    <n v="0.27494000000000002"/>
    <n v="0.12071999999999999"/>
    <n v="0.14476"/>
    <n v="0.47958000000000001"/>
    <n v="2.3711600000000002"/>
    <x v="1"/>
  </r>
  <r>
    <x v="127"/>
    <x v="8"/>
    <n v="137"/>
    <n v="3.9740000000000002"/>
    <m/>
    <n v="3.875"/>
    <n v="4.0730000000000004"/>
    <n v="1.09426"/>
    <n v="0.89185999999999999"/>
    <m/>
    <n v="0.34752"/>
    <n v="0.44089"/>
    <n v="0.10768999999999999"/>
    <n v="0.12425"/>
    <n v="0.96740999999999999"/>
    <x v="1"/>
  </r>
  <r>
    <x v="139"/>
    <x v="8"/>
    <n v="138"/>
    <n v="3.956"/>
    <m/>
    <n v="3.86"/>
    <n v="4.0519999999999996"/>
    <n v="0.27509"/>
    <n v="0.60323000000000004"/>
    <m/>
    <n v="0.29981000000000002"/>
    <n v="0.15412000000000001"/>
    <n v="0.18437000000000001"/>
    <n v="0.1827"/>
    <n v="2.2563200000000001"/>
    <x v="1"/>
  </r>
  <r>
    <x v="150"/>
    <x v="8"/>
    <n v="139"/>
    <n v="3.9159999999999999"/>
    <m/>
    <n v="3.8260000000000001"/>
    <n v="4.0060000000000002"/>
    <n v="0.55506999999999995"/>
    <n v="0.57576000000000005"/>
    <m/>
    <n v="4.4760000000000001E-2"/>
    <n v="0.40662999999999999"/>
    <n v="0.15529999999999999"/>
    <n v="0.20338000000000001"/>
    <n v="1.97478"/>
    <x v="1"/>
  </r>
  <r>
    <x v="144"/>
    <x v="5"/>
    <n v="140"/>
    <n v="3.907"/>
    <m/>
    <n v="3.798"/>
    <n v="4.016"/>
    <n v="0.55603999999999998"/>
    <n v="0.53749999999999998"/>
    <m/>
    <n v="0.42493999999999998"/>
    <n v="0.58852000000000004"/>
    <n v="8.0920000000000006E-2"/>
    <n v="0.40339000000000003"/>
    <n v="1.3157300000000001"/>
    <x v="1"/>
  </r>
  <r>
    <x v="136"/>
    <x v="8"/>
    <n v="141"/>
    <n v="3.8660000000000001"/>
    <m/>
    <n v="3.7530000000000001"/>
    <n v="3.9790000000000001"/>
    <n v="0.84731000000000001"/>
    <n v="0.66366000000000003"/>
    <m/>
    <n v="4.9910000000000003E-2"/>
    <n v="5.8900000000000003E-3"/>
    <n v="8.4339999999999998E-2"/>
    <n v="0.12071"/>
    <n v="2.0945900000000002"/>
    <x v="1"/>
  </r>
  <r>
    <x v="143"/>
    <x v="8"/>
    <n v="142"/>
    <n v="3.8559999999999999"/>
    <m/>
    <n v="3.7810000000000001"/>
    <n v="3.931"/>
    <n v="0.13270000000000001"/>
    <n v="0.60529999999999995"/>
    <m/>
    <n v="0.26162000000000002"/>
    <n v="0.38041000000000003"/>
    <n v="0.17176"/>
    <n v="0.2097"/>
    <n v="2.0946899999999999"/>
    <x v="1"/>
  </r>
  <r>
    <x v="162"/>
    <x v="8"/>
    <n v="143"/>
    <n v="3.8319999999999999"/>
    <m/>
    <n v="3.5960000000000001"/>
    <n v="4.0679999999999996"/>
    <n v="0.39394000000000001"/>
    <n v="0.18518999999999999"/>
    <m/>
    <n v="0.15781000000000001"/>
    <n v="0.19661999999999999"/>
    <n v="0.13014999999999999"/>
    <n v="0.25899"/>
    <n v="2.50929"/>
    <x v="1"/>
  </r>
  <r>
    <x v="148"/>
    <x v="8"/>
    <n v="144"/>
    <n v="3.7629999999999999"/>
    <m/>
    <n v="3.6720000000000002"/>
    <n v="3.8540000000000001"/>
    <n v="0.42214000000000002"/>
    <n v="0.63178000000000001"/>
    <m/>
    <n v="3.8240000000000003E-2"/>
    <n v="0.12806999999999999"/>
    <n v="4.9520000000000002E-2"/>
    <n v="0.18667"/>
    <n v="2.3063699999999998"/>
    <x v="1"/>
  </r>
  <r>
    <x v="151"/>
    <x v="8"/>
    <n v="145"/>
    <n v="3.7389999999999999"/>
    <m/>
    <n v="3.6469999999999998"/>
    <n v="3.831"/>
    <n v="0.31995000000000001"/>
    <n v="0.63053999999999999"/>
    <m/>
    <n v="0.21296999999999999"/>
    <n v="0.3337"/>
    <n v="0.12533"/>
    <n v="0.24353"/>
    <n v="1.8731899999999999"/>
    <x v="1"/>
  </r>
  <r>
    <x v="140"/>
    <x v="8"/>
    <n v="145"/>
    <n v="3.7389999999999999"/>
    <m/>
    <n v="3.629"/>
    <n v="3.8490000000000002"/>
    <n v="0.34719"/>
    <n v="0.90981000000000001"/>
    <m/>
    <n v="0.19625000000000001"/>
    <n v="0.43652999999999997"/>
    <n v="6.4420000000000005E-2"/>
    <n v="0.27101999999999998"/>
    <n v="1.51416"/>
    <x v="1"/>
  </r>
  <r>
    <x v="135"/>
    <x v="3"/>
    <n v="147"/>
    <n v="3.7240000000000002"/>
    <m/>
    <n v="3.621"/>
    <n v="3.827"/>
    <n v="0.57938999999999996"/>
    <n v="0.47493000000000002"/>
    <m/>
    <n v="0.31047999999999998"/>
    <n v="0.22869999999999999"/>
    <n v="5.892E-2"/>
    <n v="9.8210000000000006E-2"/>
    <n v="1.97295"/>
    <x v="1"/>
  </r>
  <r>
    <x v="146"/>
    <x v="8"/>
    <n v="148"/>
    <n v="3.6949999999999998"/>
    <m/>
    <n v="3.621"/>
    <n v="3.7690000000000001"/>
    <n v="0.27954000000000001"/>
    <n v="0.46115"/>
    <m/>
    <n v="0.37108999999999998"/>
    <n v="0.13683999999999999"/>
    <n v="7.5060000000000002E-2"/>
    <n v="0.22040000000000001"/>
    <n v="2.1507499999999999"/>
    <x v="1"/>
  </r>
  <r>
    <x v="145"/>
    <x v="8"/>
    <n v="149"/>
    <n v="3.6659999999999999"/>
    <m/>
    <n v="3.5609999999999999"/>
    <n v="3.7709999999999999"/>
    <n v="0.47155000000000002"/>
    <n v="0.77622999999999998"/>
    <m/>
    <n v="0.35699999999999998"/>
    <n v="0.31759999999999999"/>
    <n v="5.0990000000000001E-2"/>
    <n v="0.31472"/>
    <n v="1.3776900000000001"/>
    <x v="1"/>
  </r>
  <r>
    <x v="115"/>
    <x v="8"/>
    <n v="150"/>
    <n v="3.6219999999999999"/>
    <m/>
    <n v="3.4630000000000001"/>
    <n v="3.7810000000000001"/>
    <n v="0.10706"/>
    <n v="0.50353000000000003"/>
    <m/>
    <n v="0.23164999999999999"/>
    <n v="0.25747999999999999"/>
    <n v="4.8520000000000001E-2"/>
    <n v="0.24063000000000001"/>
    <n v="2.2328399999999999"/>
    <x v="1"/>
  </r>
  <r>
    <x v="149"/>
    <x v="8"/>
    <n v="151"/>
    <n v="3.6070000000000002"/>
    <m/>
    <n v="3.5329999999999999"/>
    <n v="3.681"/>
    <n v="0.22414999999999999"/>
    <n v="0.31090000000000001"/>
    <m/>
    <n v="0.18829000000000001"/>
    <n v="0.30953000000000003"/>
    <n v="0.1192"/>
    <n v="0.29914000000000002"/>
    <n v="2.15604"/>
    <x v="1"/>
  </r>
  <r>
    <x v="153"/>
    <x v="8"/>
    <n v="152"/>
    <n v="3.5150000000000001"/>
    <m/>
    <n v="3.444"/>
    <n v="3.5859999999999999"/>
    <n v="0.32845999999999997"/>
    <n v="0.61585999999999996"/>
    <m/>
    <n v="0.31864999999999999"/>
    <n v="0.54320000000000002"/>
    <n v="0.50521000000000005"/>
    <n v="0.23552000000000001"/>
    <n v="0.96819"/>
    <x v="1"/>
  </r>
  <r>
    <x v="154"/>
    <x v="8"/>
    <n v="153"/>
    <n v="3.484"/>
    <m/>
    <n v="3.4039999999999999"/>
    <n v="3.5640000000000001"/>
    <n v="0.39499000000000001"/>
    <n v="0.10419"/>
    <m/>
    <n v="0.21027999999999999"/>
    <n v="0.39746999999999999"/>
    <n v="6.6809999999999994E-2"/>
    <n v="0.20180000000000001"/>
    <n v="2.10812"/>
    <x v="1"/>
  </r>
  <r>
    <x v="152"/>
    <x v="9"/>
    <n v="154"/>
    <n v="3.36"/>
    <m/>
    <n v="3.2879999999999998"/>
    <n v="3.4319999999999999"/>
    <n v="0.38227"/>
    <n v="0.11037"/>
    <m/>
    <n v="0.17344000000000001"/>
    <n v="0.1643"/>
    <n v="7.1120000000000003E-2"/>
    <n v="0.31268000000000001"/>
    <n v="2.1455799999999998"/>
    <x v="1"/>
  </r>
  <r>
    <x v="157"/>
    <x v="8"/>
    <n v="155"/>
    <n v="3.3029999999999999"/>
    <m/>
    <n v="3.1920000000000002"/>
    <n v="3.4140000000000001"/>
    <n v="0.28122999999999998"/>
    <n v="0"/>
    <m/>
    <n v="0.24811"/>
    <n v="0.34677999999999998"/>
    <n v="0.11587"/>
    <n v="0.17516999999999999"/>
    <n v="2.1354000000000002"/>
    <x v="1"/>
  </r>
  <r>
    <x v="155"/>
    <x v="3"/>
    <n v="156"/>
    <n v="3.069"/>
    <m/>
    <n v="2.9359999999999999"/>
    <n v="3.202"/>
    <n v="0.74719000000000002"/>
    <n v="0.14865999999999999"/>
    <m/>
    <n v="0.62994000000000006"/>
    <n v="6.9120000000000001E-2"/>
    <n v="0.17233000000000001"/>
    <n v="0.48397000000000001"/>
    <n v="0.81789000000000001"/>
    <x v="1"/>
  </r>
  <r>
    <x v="156"/>
    <x v="8"/>
    <n v="157"/>
    <n v="2.9049999999999998"/>
    <m/>
    <n v="2.7320000000000002"/>
    <n v="3.0779999999999998"/>
    <n v="6.8309999999999996E-2"/>
    <n v="0.23441999999999999"/>
    <m/>
    <n v="0.15747"/>
    <n v="4.3200000000000002E-2"/>
    <n v="9.4189999999999996E-2"/>
    <n v="0.2029"/>
    <n v="2.1040399999999999"/>
    <x v="1"/>
  </r>
  <r>
    <x v="3"/>
    <x v="10"/>
    <n v="1"/>
    <n v="7.5370001792907697"/>
    <m/>
    <n v="7.5944448205828703"/>
    <n v="7.4795555379986798"/>
    <n v="1.6164631843566899"/>
    <n v="1.5335235595703101"/>
    <m/>
    <n v="0.79666650295257602"/>
    <n v="0.63542258739471402"/>
    <n v="0.315963834524155"/>
    <n v="0.36201223731040999"/>
    <n v="2.27702665328979"/>
    <x v="2"/>
  </r>
  <r>
    <x v="2"/>
    <x v="10"/>
    <n v="2"/>
    <n v="7.5219998359680202"/>
    <m/>
    <n v="7.5817280648648699"/>
    <n v="7.4622716070711599"/>
    <n v="1.48238301277161"/>
    <n v="1.5511215925216699"/>
    <m/>
    <n v="0.79256552457809404"/>
    <n v="0.62600672245025601"/>
    <n v="0.40077006816864003"/>
    <n v="0.35528048872947698"/>
    <n v="2.3137073516845699"/>
    <x v="2"/>
  </r>
  <r>
    <x v="1"/>
    <x v="10"/>
    <n v="3"/>
    <n v="7.5040001869201696"/>
    <m/>
    <n v="7.62203047305346"/>
    <n v="7.38596990078688"/>
    <n v="1.4806330204010001"/>
    <n v="1.6105740070343"/>
    <m/>
    <n v="0.83355212211608898"/>
    <n v="0.62716263532638505"/>
    <n v="0.15352655947208399"/>
    <n v="0.475540220737457"/>
    <n v="2.32271528244019"/>
    <x v="2"/>
  </r>
  <r>
    <x v="0"/>
    <x v="10"/>
    <n v="4"/>
    <n v="7.4939999580383301"/>
    <m/>
    <n v="7.5617724204063403"/>
    <n v="7.4262274956703198"/>
    <n v="1.56497955322266"/>
    <n v="1.51691174507141"/>
    <m/>
    <n v="0.85813128948211703"/>
    <n v="0.62007057666778598"/>
    <n v="0.367007285356522"/>
    <n v="0.29054927825927701"/>
    <n v="2.2767162322997998"/>
    <x v="2"/>
  </r>
  <r>
    <x v="5"/>
    <x v="10"/>
    <n v="5"/>
    <n v="7.4689998626709002"/>
    <m/>
    <n v="7.5275420758128204"/>
    <n v="7.41045764952898"/>
    <n v="1.4435719251632699"/>
    <n v="1.5402467250823999"/>
    <m/>
    <n v="0.80915766954421997"/>
    <n v="0.61795085668563798"/>
    <n v="0.38261154294013999"/>
    <n v="0.24548277258873"/>
    <n v="2.4301815032959002"/>
    <x v="2"/>
  </r>
  <r>
    <x v="6"/>
    <x v="10"/>
    <n v="6"/>
    <n v="7.3769998550415004"/>
    <m/>
    <n v="7.4274258412420702"/>
    <n v="7.3265738688409296"/>
    <n v="1.50394463539124"/>
    <n v="1.42893922328949"/>
    <m/>
    <n v="0.81069612503051802"/>
    <n v="0.58538448810577404"/>
    <n v="0.28266182541847201"/>
    <n v="0.47048982977867099"/>
    <n v="2.2948040962219198"/>
    <x v="2"/>
  </r>
  <r>
    <x v="4"/>
    <x v="10"/>
    <n v="7"/>
    <n v="7.31599998474121"/>
    <m/>
    <n v="7.3844028353691096"/>
    <n v="7.2475971341133096"/>
    <n v="1.47920441627502"/>
    <n v="1.4813489913940401"/>
    <m/>
    <n v="0.83455765247345004"/>
    <n v="0.61110091209411599"/>
    <n v="0.287371516227722"/>
    <n v="0.43553972244262701"/>
    <n v="2.1872644424438499"/>
    <x v="2"/>
  </r>
  <r>
    <x v="8"/>
    <x v="10"/>
    <n v="8"/>
    <n v="7.3140001296997097"/>
    <m/>
    <n v="7.3795104418694999"/>
    <n v="7.2484898175299204"/>
    <n v="1.40570604801178"/>
    <n v="1.54819512367249"/>
    <m/>
    <n v="0.81675970554351796"/>
    <n v="0.61406213045120195"/>
    <n v="0.382816702127457"/>
    <n v="0.50000512599945102"/>
    <n v="2.0464563369750999"/>
    <x v="2"/>
  </r>
  <r>
    <x v="7"/>
    <x v="10"/>
    <n v="9"/>
    <n v="7.2839999198913601"/>
    <m/>
    <n v="7.3440948773920498"/>
    <n v="7.2239049623906597"/>
    <n v="1.4943872690200799"/>
    <n v="1.4781621694564799"/>
    <m/>
    <n v="0.83087515830993697"/>
    <n v="0.61292409896850597"/>
    <n v="0.38439872860908503"/>
    <n v="0.38539925217628501"/>
    <n v="2.0975379943847701"/>
    <x v="2"/>
  </r>
  <r>
    <x v="9"/>
    <x v="10"/>
    <n v="10"/>
    <n v="7.2839999198913601"/>
    <m/>
    <n v="7.3566512249410199"/>
    <n v="7.2113486148417003"/>
    <n v="1.484414935112"/>
    <n v="1.51004195213318"/>
    <m/>
    <n v="0.84388679265975997"/>
    <n v="0.60160738229751598"/>
    <n v="0.30118373036384599"/>
    <n v="0.47769924998283397"/>
    <n v="2.0652108192443799"/>
    <x v="2"/>
  </r>
  <r>
    <x v="10"/>
    <x v="10"/>
    <n v="11"/>
    <n v="7.2129998207092303"/>
    <m/>
    <n v="7.2798532564938103"/>
    <n v="7.1461463849246503"/>
    <n v="1.37538242340088"/>
    <n v="1.3762899637222299"/>
    <m/>
    <n v="0.83840399980545"/>
    <n v="0.40598860383033802"/>
    <n v="8.5242100059986101E-2"/>
    <n v="0.33008265495300299"/>
    <n v="2.80175733566284"/>
    <x v="2"/>
  </r>
  <r>
    <x v="11"/>
    <x v="10"/>
    <n v="12"/>
    <n v="7.0789999961853001"/>
    <m/>
    <n v="7.1681116662919502"/>
    <n v="6.98988832607865"/>
    <n v="1.1097062826156601"/>
    <n v="1.41640365123749"/>
    <m/>
    <n v="0.75950926542282104"/>
    <n v="0.58013164997100797"/>
    <n v="0.100106589496136"/>
    <n v="0.21461322903633101"/>
    <n v="2.8986392021179199"/>
    <x v="2"/>
  </r>
  <r>
    <x v="12"/>
    <x v="10"/>
    <n v="13"/>
    <n v="7.0060000419616699"/>
    <m/>
    <n v="7.0706698121130502"/>
    <n v="6.9413302718102896"/>
    <n v="1.4870972633361801"/>
    <n v="1.4599449634552"/>
    <m/>
    <n v="0.81532841920852706"/>
    <n v="0.56776618957519498"/>
    <n v="0.221060365438461"/>
    <n v="0.31647232174873402"/>
    <n v="2.1385064125061"/>
    <x v="2"/>
  </r>
  <r>
    <x v="14"/>
    <x v="10"/>
    <n v="14"/>
    <n v="6.9930000305175799"/>
    <m/>
    <n v="7.0746567475795699"/>
    <n v="6.9113433134555802"/>
    <n v="1.54625928401947"/>
    <n v="1.4199205636978101"/>
    <m/>
    <n v="0.77428662776946999"/>
    <n v="0.50574052333831798"/>
    <n v="0.135638788342476"/>
    <n v="0.39257878065109297"/>
    <n v="2.2181134223938002"/>
    <x v="2"/>
  </r>
  <r>
    <x v="17"/>
    <x v="10"/>
    <n v="15"/>
    <n v="6.9770002365112296"/>
    <m/>
    <n v="7.04335166752338"/>
    <n v="6.91064880549908"/>
    <n v="1.53570663928986"/>
    <n v="1.5582311153411901"/>
    <m/>
    <n v="0.80978262424469005"/>
    <n v="0.57311034202575695"/>
    <n v="0.29838815331459001"/>
    <n v="0.42785832285880998"/>
    <n v="1.7738690376281701"/>
    <x v="2"/>
  </r>
  <r>
    <x v="25"/>
    <x v="10"/>
    <n v="16"/>
    <n v="6.9510002136230504"/>
    <m/>
    <n v="7.0053815692663202"/>
    <n v="6.89661885797977"/>
    <n v="1.4879233837127701"/>
    <n v="1.4725203514099099"/>
    <m/>
    <n v="0.79895073175430298"/>
    <n v="0.56251138448715199"/>
    <n v="0.276731938123703"/>
    <n v="0.33626917004585299"/>
    <n v="2.0157699584960902"/>
    <x v="2"/>
  </r>
  <r>
    <x v="18"/>
    <x v="10"/>
    <n v="17"/>
    <n v="6.8909997940063503"/>
    <m/>
    <n v="6.9558207504451302"/>
    <n v="6.8261788375675696"/>
    <n v="1.4637807607650799"/>
    <n v="1.46231269836426"/>
    <m/>
    <n v="0.81809186935424805"/>
    <n v="0.53977072238922097"/>
    <n v="0.25134313106536899"/>
    <n v="0.23150333762168901"/>
    <n v="2.1242103576660201"/>
    <x v="2"/>
  </r>
  <r>
    <x v="16"/>
    <x v="10"/>
    <n v="18"/>
    <n v="6.8629999160766602"/>
    <m/>
    <n v="6.9236860998719898"/>
    <n v="6.8023137322813296"/>
    <n v="1.74194359779358"/>
    <n v="1.4575836658477801"/>
    <m/>
    <n v="0.84508949518203702"/>
    <n v="0.59662789106368996"/>
    <n v="0.31883442401885997"/>
    <n v="0.283180981874466"/>
    <n v="1.61951208114624"/>
    <x v="2"/>
  </r>
  <r>
    <x v="20"/>
    <x v="10"/>
    <n v="19"/>
    <n v="6.7140002250671396"/>
    <m/>
    <n v="6.7837917611002903"/>
    <n v="6.6442086890339898"/>
    <n v="1.44163393974304"/>
    <n v="1.49646008014679"/>
    <m/>
    <n v="0.80533593893051103"/>
    <n v="0.50819003582000699"/>
    <n v="0.265428066253662"/>
    <n v="0.492774158716202"/>
    <n v="1.7041435241699201"/>
    <x v="2"/>
  </r>
  <r>
    <x v="26"/>
    <x v="10"/>
    <n v="20"/>
    <n v="6.65199995040894"/>
    <m/>
    <n v="6.7392505601048498"/>
    <n v="6.5647493407130204"/>
    <n v="1.25278460979462"/>
    <n v="1.28402495384216"/>
    <m/>
    <n v="0.81947970390319802"/>
    <n v="0.37689527869224498"/>
    <n v="8.2287982106208801E-2"/>
    <n v="0.32666242122650102"/>
    <n v="2.5095858573913601"/>
    <x v="2"/>
  </r>
  <r>
    <x v="19"/>
    <x v="10"/>
    <n v="21"/>
    <n v="6.6479997634887704"/>
    <m/>
    <n v="6.7220473037660096"/>
    <n v="6.5739522232115304"/>
    <n v="1.62634336948395"/>
    <n v="1.2664102315902701"/>
    <m/>
    <n v="0.726798236370087"/>
    <n v="0.60834527015686002"/>
    <n v="0.32448956370353699"/>
    <n v="0.36094194650650002"/>
    <n v="1.734703540802"/>
    <x v="2"/>
  </r>
  <r>
    <x v="15"/>
    <x v="10"/>
    <n v="22"/>
    <n v="6.6350002288818404"/>
    <m/>
    <n v="6.7254695016145698"/>
    <n v="6.5445309561491003"/>
    <n v="1.1073532104492201"/>
    <n v="1.4313060045242301"/>
    <m/>
    <n v="0.61655235290527299"/>
    <n v="0.43745374679565402"/>
    <n v="0.111092761158943"/>
    <n v="0.16234989464283001"/>
    <n v="2.7692670822143599"/>
    <x v="2"/>
  </r>
  <r>
    <x v="30"/>
    <x v="10"/>
    <n v="23"/>
    <n v="6.6090002059936497"/>
    <m/>
    <n v="6.6838624626398104"/>
    <n v="6.5341379493474996"/>
    <n v="1.35268235206604"/>
    <n v="1.4338852167129501"/>
    <m/>
    <n v="0.75444400310516402"/>
    <n v="0.49094617366790799"/>
    <n v="3.6872927099466303E-2"/>
    <n v="8.8106758892536205E-2"/>
    <n v="2.4518618583679199"/>
    <x v="2"/>
  </r>
  <r>
    <x v="29"/>
    <x v="10"/>
    <n v="24"/>
    <n v="6.59899997711182"/>
    <m/>
    <n v="6.6900850860774499"/>
    <n v="6.5079148681461803"/>
    <n v="1.1852954626083401"/>
    <n v="1.44045114517212"/>
    <m/>
    <n v="0.69513708353042603"/>
    <n v="0.494519203901291"/>
    <n v="5.9739887714386E-2"/>
    <n v="0.109457060694695"/>
    <n v="2.6140053272247301"/>
    <x v="2"/>
  </r>
  <r>
    <x v="13"/>
    <x v="10"/>
    <n v="25"/>
    <n v="6.5780000686645499"/>
    <m/>
    <n v="6.67114890769124"/>
    <n v="6.4848512296378598"/>
    <n v="1.1531838178634599"/>
    <n v="1.2108621597289999"/>
    <m/>
    <n v="0.70997899770736705"/>
    <n v="0.41273000836372398"/>
    <n v="0.13277411460876501"/>
    <n v="0.120990432798862"/>
    <n v="2.8371548652648899"/>
    <x v="2"/>
  </r>
  <r>
    <x v="23"/>
    <x v="10"/>
    <n v="26"/>
    <n v="6.57200002670288"/>
    <m/>
    <n v="6.6367230691015697"/>
    <n v="6.5072769843041902"/>
    <n v="1.69227766990662"/>
    <n v="1.35381436347961"/>
    <m/>
    <n v="0.94949239492416404"/>
    <n v="0.54984056949615501"/>
    <n v="0.46430778503418002"/>
    <n v="0.34596598148345897"/>
    <n v="1.2163619995117201"/>
    <x v="2"/>
  </r>
  <r>
    <x v="36"/>
    <x v="10"/>
    <n v="27"/>
    <n v="6.52699995040894"/>
    <m/>
    <n v="6.59839677289128"/>
    <n v="6.4556031279265902"/>
    <n v="1.3432798385620099"/>
    <n v="1.4884116649627701"/>
    <m/>
    <n v="0.82194423675537098"/>
    <n v="0.58876705169677701"/>
    <n v="0.15306606888771099"/>
    <n v="0.57473057508468595"/>
    <n v="1.55686283111572"/>
    <x v="2"/>
  </r>
  <r>
    <x v="31"/>
    <x v="10"/>
    <n v="28"/>
    <n v="6.4539999961853001"/>
    <m/>
    <n v="6.5459062176942799"/>
    <n v="6.3620937746763202"/>
    <n v="1.2175596952438399"/>
    <n v="1.4122278690338099"/>
    <m/>
    <n v="0.71921682357788097"/>
    <n v="0.57939225435257002"/>
    <n v="0.178061872720718"/>
    <n v="0.17509692907333399"/>
    <n v="2.1724095344543501"/>
    <x v="2"/>
  </r>
  <r>
    <x v="42"/>
    <x v="10"/>
    <n v="29"/>
    <n v="6.4539999961853001"/>
    <m/>
    <n v="6.5668739727139496"/>
    <n v="6.3411260196566603"/>
    <n v="0.87200194597244296"/>
    <n v="1.2555851936340301"/>
    <m/>
    <n v="0.54023998975753795"/>
    <n v="0.53131061792373702"/>
    <n v="7.72232785820961E-2"/>
    <n v="0.28348839282989502"/>
    <n v="2.8938910961151101"/>
    <x v="2"/>
  </r>
  <r>
    <x v="24"/>
    <x v="10"/>
    <n v="30"/>
    <n v="6.4520001411437997"/>
    <m/>
    <n v="6.5571307161450401"/>
    <n v="6.3468695661425603"/>
    <n v="1.23374843597412"/>
    <n v="1.3731925487518299"/>
    <m/>
    <n v="0.70615613460540805"/>
    <n v="0.55002683401107799"/>
    <n v="7.0983923971652998E-2"/>
    <n v="0.21055693924426999"/>
    <n v="2.30719995498657"/>
    <x v="2"/>
  </r>
  <r>
    <x v="28"/>
    <x v="10"/>
    <n v="31"/>
    <n v="6.4419999122619602"/>
    <m/>
    <n v="6.5157678024470798"/>
    <n v="6.3682320220768496"/>
    <n v="1.4309234619140601"/>
    <n v="1.3877768516540501"/>
    <m/>
    <n v="0.844465851783752"/>
    <n v="0.47022211551666299"/>
    <n v="0.17250242829322801"/>
    <n v="0.12976230680942499"/>
    <n v="2.0059547424316402"/>
    <x v="2"/>
  </r>
  <r>
    <x v="33"/>
    <x v="10"/>
    <n v="32"/>
    <n v="6.4239997863769496"/>
    <m/>
    <n v="6.5091168557107402"/>
    <n v="6.3388827170431599"/>
    <n v="1.12786877155304"/>
    <n v="1.42579245567322"/>
    <m/>
    <n v="0.647239029407501"/>
    <n v="0.58020073175430298"/>
    <n v="3.16127352416515E-2"/>
    <n v="0.57212311029434204"/>
    <n v="2.0395083427429199"/>
    <x v="2"/>
  </r>
  <r>
    <x v="163"/>
    <x v="10"/>
    <n v="33"/>
    <n v="6.4219999313354501"/>
    <m/>
    <n v="6.4945960219204402"/>
    <n v="6.34940384075046"/>
    <n v="1.43362653255463"/>
    <n v="1.38456535339355"/>
    <m/>
    <n v="0.793984234333038"/>
    <n v="0.36146658658981301"/>
    <n v="6.3829235732555403E-2"/>
    <n v="0.258360475301743"/>
    <n v="2.1266074180603001"/>
    <x v="2"/>
  </r>
  <r>
    <x v="35"/>
    <x v="10"/>
    <n v="34"/>
    <n v="6.4029998779296902"/>
    <m/>
    <n v="6.4710548453032999"/>
    <n v="6.3349449105560804"/>
    <n v="1.3843978643417401"/>
    <n v="1.5320909023284901"/>
    <m/>
    <n v="0.88896059989929199"/>
    <n v="0.40878123044967701"/>
    <n v="7.0914097130298601E-2"/>
    <n v="0.190133571624756"/>
    <n v="1.92775774002075"/>
    <x v="2"/>
  </r>
  <r>
    <x v="27"/>
    <x v="10"/>
    <n v="35"/>
    <n v="6.375"/>
    <m/>
    <n v="6.5684768143296202"/>
    <n v="6.1815231856703798"/>
    <n v="1.87076568603516"/>
    <n v="1.27429687976837"/>
    <m/>
    <n v="0.71009808778762795"/>
    <n v="0.60413098335266102"/>
    <n v="0.439299255609512"/>
    <n v="0.33047387003898598"/>
    <n v="1.1454644203186"/>
    <x v="2"/>
  </r>
  <r>
    <x v="32"/>
    <x v="10"/>
    <n v="36"/>
    <n v="6.3569998741149902"/>
    <m/>
    <n v="6.45202005416155"/>
    <n v="6.2619796940684296"/>
    <n v="1.07062232494354"/>
    <n v="1.4021829366684"/>
    <m/>
    <n v="0.59502792358398404"/>
    <n v="0.47748741507530201"/>
    <n v="4.6668741852045101E-2"/>
    <n v="0.149014472961426"/>
    <n v="2.6160681247711199"/>
    <x v="2"/>
  </r>
  <r>
    <x v="34"/>
    <x v="10"/>
    <n v="37"/>
    <n v="6.3439998626709002"/>
    <m/>
    <n v="6.4441666120290799"/>
    <n v="6.2438331133127196"/>
    <n v="1.53062355518341"/>
    <n v="1.28667759895325"/>
    <m/>
    <n v="0.59014832973480202"/>
    <n v="0.44975057244300798"/>
    <n v="0.27343225479125999"/>
    <n v="0.14761601388454401"/>
    <n v="2.0654296875"/>
    <x v="2"/>
  </r>
  <r>
    <x v="40"/>
    <x v="10"/>
    <n v="38"/>
    <n v="6.1680002212524396"/>
    <m/>
    <n v="6.3815338906645804"/>
    <n v="5.9544665518403104"/>
    <n v="1.36135590076447"/>
    <n v="1.3802285194396999"/>
    <m/>
    <n v="0.51998329162597701"/>
    <n v="0.51863074302673295"/>
    <n v="8.9648161083459906E-3"/>
    <n v="0.325296461582184"/>
    <n v="2.0532474517822301"/>
    <x v="2"/>
  </r>
  <r>
    <x v="38"/>
    <x v="10"/>
    <n v="39"/>
    <n v="6.1050000190734899"/>
    <m/>
    <n v="6.1919569888710999"/>
    <n v="6.0180430492758799"/>
    <n v="1.63295245170593"/>
    <n v="1.25969874858856"/>
    <m/>
    <n v="0.63210570812225297"/>
    <n v="0.49633759260177601"/>
    <n v="0.21515955030918099"/>
    <n v="0.22828979790210699"/>
    <n v="1.64042520523071"/>
    <x v="2"/>
  </r>
  <r>
    <x v="44"/>
    <x v="10"/>
    <n v="40"/>
    <n v="6.09800004959106"/>
    <m/>
    <n v="6.1773484121262996"/>
    <n v="6.0186516870558302"/>
    <n v="1.3253935575485201"/>
    <n v="1.50505924224854"/>
    <m/>
    <n v="0.71273291110992398"/>
    <n v="0.29581746459007302"/>
    <n v="2.4210851639509201E-2"/>
    <n v="0.13654448091983801"/>
    <n v="2.0977766513824498"/>
    <x v="2"/>
  </r>
  <r>
    <x v="48"/>
    <x v="10"/>
    <n v="41"/>
    <n v="6.0869998931884801"/>
    <m/>
    <n v="6.1789890678226902"/>
    <n v="5.9950107185542603"/>
    <n v="1.4884122610092201"/>
    <n v="1.3231104612350499"/>
    <m/>
    <n v="0.65313303470611594"/>
    <n v="0.53674691915512096"/>
    <n v="0.25704216957092302"/>
    <n v="0.172668486833572"/>
    <n v="1.65614938735962"/>
    <x v="2"/>
  </r>
  <r>
    <x v="60"/>
    <x v="10"/>
    <n v="42"/>
    <n v="6.0840001106262198"/>
    <m/>
    <n v="6.1799796365201498"/>
    <n v="5.9880205847322898"/>
    <n v="1.29121541976929"/>
    <n v="1.28464603424072"/>
    <m/>
    <n v="0.61878442764282204"/>
    <n v="0.40226498246192899"/>
    <n v="6.5600708127021803E-2"/>
    <n v="0.41660892963409402"/>
    <n v="2.00444889068604"/>
    <x v="2"/>
  </r>
  <r>
    <x v="56"/>
    <x v="10"/>
    <n v="43"/>
    <n v="6.0710000991821298"/>
    <m/>
    <n v="6.1865836003422698"/>
    <n v="5.95541659802198"/>
    <n v="0.737299203872681"/>
    <n v="1.28721570968628"/>
    <m/>
    <n v="0.65309596061706499"/>
    <n v="0.44755184650421098"/>
    <n v="0.130687981843948"/>
    <n v="0.30167421698570301"/>
    <n v="2.5139305591583301"/>
    <x v="2"/>
  </r>
  <r>
    <x v="47"/>
    <x v="10"/>
    <n v="44"/>
    <n v="6.0079998970031703"/>
    <m/>
    <n v="6.1058476753532904"/>
    <n v="5.9101521186530599"/>
    <n v="1.00082039833069"/>
    <n v="1.2861688137054399"/>
    <m/>
    <n v="0.68563622236251798"/>
    <n v="0.45519819855690002"/>
    <n v="0.140134647488594"/>
    <n v="0.150112465023994"/>
    <n v="2.2903525829315199"/>
    <x v="2"/>
  </r>
  <r>
    <x v="41"/>
    <x v="10"/>
    <n v="45"/>
    <n v="6.0029997825622603"/>
    <m/>
    <n v="6.1086351223289999"/>
    <n v="5.8973644427955199"/>
    <n v="0.909784495830536"/>
    <n v="1.1821250915527299"/>
    <m/>
    <n v="0.59601855278015103"/>
    <n v="0.43245252966880798"/>
    <n v="8.9980959892272894E-2"/>
    <n v="7.8257985413074493E-2"/>
    <n v="2.7145938873290998"/>
    <x v="2"/>
  </r>
  <r>
    <x v="59"/>
    <x v="10"/>
    <n v="46"/>
    <n v="5.97300004959106"/>
    <m/>
    <n v="6.0539083412289596"/>
    <n v="5.8920917579531702"/>
    <n v="1.29178786277771"/>
    <n v="1.44571197032928"/>
    <m/>
    <n v="0.69947534799575795"/>
    <n v="0.52034211158752397"/>
    <n v="5.9307806193828597E-2"/>
    <n v="0.158465966582298"/>
    <n v="1.79772281646729"/>
    <x v="2"/>
  </r>
  <r>
    <x v="43"/>
    <x v="10"/>
    <n v="47"/>
    <n v="5.9710001945495597"/>
    <m/>
    <n v="6.0655375729501202"/>
    <n v="5.876462816149"/>
    <n v="0.78644108772277799"/>
    <n v="1.5489691495895399"/>
    <m/>
    <n v="0.49827262759208701"/>
    <n v="0.65824866294860795"/>
    <n v="0.24652822315692899"/>
    <n v="0.415983647108078"/>
    <n v="1.8169136047363299"/>
    <x v="2"/>
  </r>
  <r>
    <x v="49"/>
    <x v="10"/>
    <n v="48"/>
    <n v="5.9640002250671396"/>
    <m/>
    <n v="6.0427369059622302"/>
    <n v="5.8852635441720498"/>
    <n v="1.3950666189193699"/>
    <n v="1.44492328166962"/>
    <m/>
    <n v="0.85314434766769398"/>
    <n v="0.25645071268081698"/>
    <n v="2.8028091415762901E-2"/>
    <n v="0.17278964817524001"/>
    <n v="1.8133120536804199"/>
    <x v="2"/>
  </r>
  <r>
    <x v="63"/>
    <x v="10"/>
    <n v="49"/>
    <n v="5.9629998207092303"/>
    <m/>
    <n v="6.0302749074995496"/>
    <n v="5.8957247339189101"/>
    <n v="1.28177809715271"/>
    <n v="1.46928238868713"/>
    <m/>
    <n v="0.547349333763123"/>
    <n v="0.37378311157226601"/>
    <n v="3.2962881028652198E-2"/>
    <n v="5.2263822406530401E-2"/>
    <n v="2.2056074142456099"/>
    <x v="2"/>
  </r>
  <r>
    <x v="159"/>
    <x v="10"/>
    <n v="50"/>
    <n v="5.9559998512268102"/>
    <m/>
    <n v="6.1972423177957499"/>
    <n v="5.7147573846578599"/>
    <n v="0.90797531604766801"/>
    <n v="1.0814177989959699"/>
    <m/>
    <n v="0.45019176602363598"/>
    <n v="0.54750937223434404"/>
    <n v="9.6581071615219102E-2"/>
    <n v="0.24001564085483601"/>
    <n v="2.6319556236267099"/>
    <x v="2"/>
  </r>
  <r>
    <x v="45"/>
    <x v="10"/>
    <n v="51"/>
    <n v="5.9200000762939498"/>
    <m/>
    <n v="5.9907194446027301"/>
    <n v="5.8492807079851596"/>
    <n v="1.41691517829895"/>
    <n v="1.4363378286361701"/>
    <m/>
    <n v="0.91347587108612105"/>
    <n v="0.50562554597854603"/>
    <n v="0.163760736584663"/>
    <n v="0.12057276815176"/>
    <n v="1.3632235527038601"/>
    <x v="2"/>
  </r>
  <r>
    <x v="55"/>
    <x v="10"/>
    <n v="52"/>
    <n v="5.90199995040894"/>
    <m/>
    <n v="5.9826696413755398"/>
    <n v="5.8213302594423304"/>
    <n v="1.3145823478698699"/>
    <n v="1.47351610660553"/>
    <m/>
    <n v="0.62894994020462003"/>
    <n v="0.23423178493976601"/>
    <n v="1.18656428530812E-2"/>
    <n v="1.0164656676352E-2"/>
    <n v="2.2284405231475799"/>
    <x v="2"/>
  </r>
  <r>
    <x v="67"/>
    <x v="10"/>
    <n v="53"/>
    <n v="5.8720002174377397"/>
    <m/>
    <n v="5.9782864336669403"/>
    <n v="5.7657140012085399"/>
    <n v="1.09186446666718"/>
    <n v="1.1462174654007"/>
    <m/>
    <n v="0.61758464574813798"/>
    <n v="0.23333580791950201"/>
    <n v="0.14609611034393299"/>
    <n v="6.9436646997928606E-2"/>
    <n v="2.5676038265228298"/>
    <x v="2"/>
  </r>
  <r>
    <x v="88"/>
    <x v="10"/>
    <n v="54"/>
    <n v="5.8499999046325701"/>
    <m/>
    <n v="5.9202635382115796"/>
    <n v="5.77973627105355"/>
    <n v="1.26074862480164"/>
    <n v="1.4047149419784499"/>
    <m/>
    <n v="0.63856697082519498"/>
    <n v="0.32570791244506803"/>
    <n v="7.3842726647853907E-2"/>
    <n v="0.153074786067009"/>
    <n v="1.9936552047729501"/>
    <x v="2"/>
  </r>
  <r>
    <x v="46"/>
    <x v="10"/>
    <n v="55"/>
    <n v="5.8379998207092303"/>
    <m/>
    <n v="5.9225590282678597"/>
    <n v="5.7534406131506"/>
    <n v="1.40167844295502"/>
    <n v="1.12827444076538"/>
    <m/>
    <n v="0.90021407604217496"/>
    <n v="0.25792166590690602"/>
    <n v="6.3282668590545696E-2"/>
    <n v="0.20667436718940699"/>
    <n v="1.8803780078887899"/>
    <x v="2"/>
  </r>
  <r>
    <x v="51"/>
    <x v="10"/>
    <n v="56"/>
    <n v="5.8379998207092303"/>
    <m/>
    <n v="5.90837083846331"/>
    <n v="5.7676288029551497"/>
    <n v="0.728870630264282"/>
    <n v="1.25182557106018"/>
    <m/>
    <n v="0.58946520090103105"/>
    <n v="0.24072904884815199"/>
    <n v="1.00912861526012E-2"/>
    <n v="0.208779126405716"/>
    <n v="2.8078083992004399"/>
    <x v="2"/>
  </r>
  <r>
    <x v="85"/>
    <x v="10"/>
    <n v="57"/>
    <n v="5.8249998092651403"/>
    <m/>
    <n v="5.9196941567957397"/>
    <n v="5.7303054617345301"/>
    <n v="1.21768391132355"/>
    <n v="1.15009129047394"/>
    <m/>
    <n v="0.68515831232070901"/>
    <n v="0.45700374245643599"/>
    <n v="4.3879006989300303E-3"/>
    <n v="0.133519917726517"/>
    <n v="2.1768314838409402"/>
    <x v="2"/>
  </r>
  <r>
    <x v="50"/>
    <x v="10"/>
    <n v="58"/>
    <n v="5.8229999542236301"/>
    <m/>
    <n v="5.9039769025147004"/>
    <n v="5.7420230059325696"/>
    <n v="0.83375656604766801"/>
    <n v="1.2276190519332899"/>
    <m/>
    <n v="0.47363024950027499"/>
    <n v="0.55873292684555098"/>
    <n v="6.0477726161479901E-2"/>
    <n v="0.22556072473526001"/>
    <n v="2.4432790279388401"/>
    <x v="2"/>
  </r>
  <r>
    <x v="69"/>
    <x v="10"/>
    <n v="59"/>
    <n v="5.82200002670288"/>
    <m/>
    <n v="5.8851808755099801"/>
    <n v="5.7588191778957798"/>
    <n v="1.13077676296234"/>
    <n v="1.4931491613388099"/>
    <m/>
    <n v="0.437726080417633"/>
    <n v="0.41827192902565002"/>
    <n v="0.259270340204239"/>
    <n v="0.24992498755455"/>
    <n v="1.8329098224639899"/>
    <x v="2"/>
  </r>
  <r>
    <x v="53"/>
    <x v="10"/>
    <n v="60"/>
    <n v="5.8189997673034703"/>
    <m/>
    <n v="5.9036417746543899"/>
    <n v="5.7343577599525499"/>
    <n v="1.28455626964569"/>
    <n v="1.3843690156936601"/>
    <m/>
    <n v="0.60604155063629195"/>
    <n v="0.437454283237457"/>
    <n v="0.119282886385918"/>
    <n v="0.20196442306041701"/>
    <n v="1.7848925590515099"/>
    <x v="2"/>
  </r>
  <r>
    <x v="65"/>
    <x v="10"/>
    <n v="61"/>
    <n v="5.8099999427795401"/>
    <m/>
    <n v="5.8973664648830901"/>
    <n v="5.7226334206759901"/>
    <n v="1.3469113111496001"/>
    <n v="1.1863033771514899"/>
    <m/>
    <n v="0.83464723825454701"/>
    <n v="0.47120362520217901"/>
    <n v="0.15535335242748299"/>
    <n v="0.266845703125"/>
    <n v="1.5491576194763199"/>
    <x v="2"/>
  </r>
  <r>
    <x v="54"/>
    <x v="10"/>
    <n v="62"/>
    <n v="5.7579998970031703"/>
    <m/>
    <n v="5.8422251600027097"/>
    <n v="5.6737746340036397"/>
    <n v="1.3412059545517001"/>
    <n v="1.4525188207626301"/>
    <m/>
    <n v="0.79082822799682595"/>
    <n v="0.57257580757141102"/>
    <n v="4.5128978788852699E-2"/>
    <n v="0.24264909327030201"/>
    <n v="1.3133172988891599"/>
    <x v="2"/>
  </r>
  <r>
    <x v="57"/>
    <x v="10"/>
    <n v="63"/>
    <n v="5.7150001525878897"/>
    <m/>
    <n v="5.8119467785954502"/>
    <n v="5.6180535265803302"/>
    <n v="1.0352252721786499"/>
    <n v="1.2187703847885101"/>
    <m/>
    <n v="0.63016611337661699"/>
    <n v="0.45000287890434298"/>
    <n v="4.7049086540937403E-2"/>
    <n v="0.12681971490383101"/>
    <n v="2.2072694301605198"/>
    <x v="2"/>
  </r>
  <r>
    <x v="70"/>
    <x v="10"/>
    <n v="64"/>
    <n v="5.6290001869201696"/>
    <m/>
    <n v="5.72986219167709"/>
    <n v="5.5281381821632403"/>
    <n v="1.1893955469131501"/>
    <n v="1.20956099033356"/>
    <m/>
    <n v="0.63800746202468905"/>
    <n v="0.49124732613563499"/>
    <n v="4.2181555181741701E-2"/>
    <n v="0.36093375086784402"/>
    <n v="1.6975839138030999"/>
    <x v="2"/>
  </r>
  <r>
    <x v="66"/>
    <x v="10"/>
    <n v="65"/>
    <n v="5.6209998130798304"/>
    <m/>
    <n v="5.7146926993131597"/>
    <n v="5.5273069268465003"/>
    <n v="1.3559380769729601"/>
    <n v="1.13136327266693"/>
    <m/>
    <n v="0.84471470117569003"/>
    <n v="0.35511153936386097"/>
    <n v="4.1237976402044303E-2"/>
    <n v="0.27125430107116699"/>
    <n v="1.62124919891357"/>
    <x v="2"/>
  </r>
  <r>
    <x v="72"/>
    <x v="10"/>
    <n v="66"/>
    <n v="5.6110000610351598"/>
    <m/>
    <n v="5.6881398741900897"/>
    <n v="5.5338602478802201"/>
    <n v="1.32087934017181"/>
    <n v="1.4766710996627801"/>
    <m/>
    <n v="0.695168316364288"/>
    <n v="0.479131430387497"/>
    <n v="0.183248922228813"/>
    <n v="9.8890811204910306E-2"/>
    <n v="1.3575086593627901"/>
    <x v="2"/>
  </r>
  <r>
    <x v="58"/>
    <x v="10"/>
    <n v="67"/>
    <n v="5.5689997673034703"/>
    <m/>
    <n v="5.6461142440140204"/>
    <n v="5.4918852905929096"/>
    <n v="1.1565575599670399"/>
    <n v="1.44494521617889"/>
    <m/>
    <n v="0.63771426677703902"/>
    <n v="0.29540026187896701"/>
    <n v="0.156313821673393"/>
    <n v="0.15513750910759"/>
    <n v="1.72323298454285"/>
    <x v="2"/>
  </r>
  <r>
    <x v="62"/>
    <x v="10"/>
    <n v="68"/>
    <n v="5.5250000953674299"/>
    <m/>
    <n v="5.6769538068771404"/>
    <n v="5.37304638385773"/>
    <n v="1.1018030643463099"/>
    <n v="1.3575643301010101"/>
    <m/>
    <n v="0.52016901969909701"/>
    <n v="0.46573323011398299"/>
    <n v="9.2610210180282607E-2"/>
    <n v="0.15207366645336201"/>
    <n v="1.83501124382019"/>
    <x v="2"/>
  </r>
  <r>
    <x v="75"/>
    <x v="10"/>
    <n v="69"/>
    <n v="5.5"/>
    <m/>
    <n v="5.5948649632930803"/>
    <n v="5.4051350367069197"/>
    <n v="1.19827437400818"/>
    <n v="1.3377531766891499"/>
    <m/>
    <n v="0.63760560750961304"/>
    <n v="0.30074059963226302"/>
    <n v="9.9671579897403703E-2"/>
    <n v="4.6693041920661899E-2"/>
    <n v="1.87927794456482"/>
    <x v="2"/>
  </r>
  <r>
    <x v="52"/>
    <x v="10"/>
    <n v="70"/>
    <n v="5.4930000305175799"/>
    <m/>
    <n v="5.5773812696337703"/>
    <n v="5.4086187914013903"/>
    <n v="0.93253731727600098"/>
    <n v="1.50728487968445"/>
    <m/>
    <n v="0.57925069332122803"/>
    <n v="0.47350779175758401"/>
    <n v="9.1065913438796997E-2"/>
    <n v="0.22415065765380901"/>
    <n v="1.6853334903717001"/>
    <x v="2"/>
  </r>
  <r>
    <x v="164"/>
    <x v="10"/>
    <n v="71"/>
    <n v="5.4720001220703098"/>
    <m/>
    <n v="5.5495941731333698"/>
    <n v="5.3944060710072499"/>
    <n v="1.55167484283447"/>
    <n v="1.2627909183502199"/>
    <m/>
    <n v="0.943062424659729"/>
    <n v="0.49096864461898798"/>
    <n v="0.29393374919891402"/>
    <n v="0.37446579337120101"/>
    <n v="0.55463314056396495"/>
    <x v="2"/>
  </r>
  <r>
    <x v="89"/>
    <x v="10"/>
    <n v="72"/>
    <n v="5.4299998283386204"/>
    <m/>
    <n v="5.5453350542485698"/>
    <n v="5.3146646024286701"/>
    <n v="0.85769921541214"/>
    <n v="1.25391757488251"/>
    <m/>
    <n v="0.46800905466079701"/>
    <n v="0.58521467447280895"/>
    <n v="9.9331893026828794E-2"/>
    <n v="0.193513423204422"/>
    <n v="1.9726047515869101"/>
    <x v="2"/>
  </r>
  <r>
    <x v="86"/>
    <x v="10"/>
    <n v="73"/>
    <n v="5.3949999809265101"/>
    <m/>
    <n v="5.4915696561336498"/>
    <n v="5.2984303057193802"/>
    <n v="1.0693175792694101"/>
    <n v="1.25818979740143"/>
    <m/>
    <n v="0.65078467130661"/>
    <n v="0.20871552824974099"/>
    <n v="4.0903780609369299E-2"/>
    <n v="0.22012588381767301"/>
    <n v="1.9470844268798799"/>
    <x v="2"/>
  </r>
  <r>
    <x v="81"/>
    <x v="10"/>
    <n v="74"/>
    <n v="5.3359999656677202"/>
    <m/>
    <n v="5.4484100224077698"/>
    <n v="5.2235899089276803"/>
    <n v="0.99101239442825295"/>
    <n v="1.2390888929367101"/>
    <m/>
    <n v="0.60459005832672097"/>
    <n v="0.41842114925384499"/>
    <n v="0.11980327218771"/>
    <n v="0.172170460224152"/>
    <n v="1.79117655754089"/>
    <x v="2"/>
  </r>
  <r>
    <x v="103"/>
    <x v="10"/>
    <n v="75"/>
    <n v="5.3239998817443803"/>
    <m/>
    <n v="5.4030397091805904"/>
    <n v="5.24496005430818"/>
    <n v="1.2860119342803999"/>
    <n v="1.34313309192657"/>
    <m/>
    <n v="0.687763452529907"/>
    <n v="0.17586351931095101"/>
    <n v="3.66369374096394E-2"/>
    <n v="7.84016624093056E-2"/>
    <n v="1.71645927429199"/>
    <x v="2"/>
  </r>
  <r>
    <x v="64"/>
    <x v="10"/>
    <n v="76"/>
    <n v="5.3109998703002903"/>
    <m/>
    <n v="5.5813987284898801"/>
    <n v="5.0406010121107103"/>
    <n v="0.92557930946350098"/>
    <n v="1.3682180643081701"/>
    <m/>
    <n v="0.64102238416671797"/>
    <n v="0.47430723905563399"/>
    <n v="5.5267781019210802E-2"/>
    <n v="0.23381833732128099"/>
    <n v="1.61232566833496"/>
    <x v="2"/>
  </r>
  <r>
    <x v="61"/>
    <x v="10"/>
    <n v="77"/>
    <n v="5.2930002212524396"/>
    <m/>
    <n v="5.3917772045731498"/>
    <n v="5.1942232379317304"/>
    <n v="1.22255623340607"/>
    <n v="0.96798300743103005"/>
    <m/>
    <n v="0.701288521289825"/>
    <n v="0.25577229261398299"/>
    <n v="4.3103110045194598E-2"/>
    <n v="0.24800297617912301"/>
    <n v="1.85449242591858"/>
    <x v="2"/>
  </r>
  <r>
    <x v="68"/>
    <x v="10"/>
    <n v="78"/>
    <n v="5.2789998054504403"/>
    <m/>
    <n v="5.36484799548984"/>
    <n v="5.1931516154110398"/>
    <n v="0.95148438215255704"/>
    <n v="1.1378535032272299"/>
    <m/>
    <n v="0.54145205020904497"/>
    <n v="0.26028794050216703"/>
    <n v="5.7471618056297302E-2"/>
    <n v="0.31993144750595098"/>
    <n v="2.0105407238006601"/>
    <x v="2"/>
  </r>
  <r>
    <x v="83"/>
    <x v="10"/>
    <n v="79"/>
    <n v="5.2729997634887704"/>
    <m/>
    <n v="5.3192780897766303"/>
    <n v="5.2267214372008999"/>
    <n v="1.08116579055786"/>
    <n v="1.1608374118804901"/>
    <m/>
    <n v="0.74141550064086903"/>
    <n v="0.47278770804405201"/>
    <n v="2.2794274613261199E-2"/>
    <n v="2.8806841000914601E-2"/>
    <n v="1.7649385929107699"/>
    <x v="2"/>
  </r>
  <r>
    <x v="80"/>
    <x v="10"/>
    <n v="80"/>
    <n v="5.2690000534057599"/>
    <m/>
    <n v="5.3599836413562301"/>
    <n v="5.1780164654552898"/>
    <n v="0.72688353061676003"/>
    <n v="0.672690689563751"/>
    <m/>
    <n v="0.40204778313636802"/>
    <n v="0.23521526157855999"/>
    <n v="0.124348066747189"/>
    <n v="0.31544601917266801"/>
    <n v="2.7924892902374299"/>
    <x v="2"/>
  </r>
  <r>
    <x v="73"/>
    <x v="10"/>
    <n v="81"/>
    <n v="5.2620000839233398"/>
    <m/>
    <n v="5.3528885981440499"/>
    <n v="5.1711115697026298"/>
    <n v="0.99553859233856201"/>
    <n v="1.2744446992874101"/>
    <m/>
    <n v="0.492345720529556"/>
    <n v="0.44332346320152299"/>
    <n v="1.5317135490477101E-2"/>
    <n v="0.61170458793640103"/>
    <n v="1.42947697639465"/>
    <x v="2"/>
  </r>
  <r>
    <x v="22"/>
    <x v="10"/>
    <n v="82"/>
    <n v="5.25"/>
    <m/>
    <n v="5.3700319455564003"/>
    <n v="5.1299680544435997"/>
    <n v="1.1284312009811399"/>
    <n v="1.4313375949859599"/>
    <m/>
    <n v="0.61714422702789296"/>
    <n v="0.153997123241425"/>
    <n v="6.4491122961044298E-2"/>
    <n v="6.5019629895687103E-2"/>
    <n v="1.7894637584686299"/>
    <x v="2"/>
  </r>
  <r>
    <x v="82"/>
    <x v="10"/>
    <n v="83"/>
    <n v="5.23699998855591"/>
    <m/>
    <n v="5.3410444405674902"/>
    <n v="5.13295553654432"/>
    <n v="1.1211290359497099"/>
    <n v="1.23837649822235"/>
    <m/>
    <n v="0.66746467351913497"/>
    <n v="0.19498905539512601"/>
    <n v="8.8174194097518893E-2"/>
    <n v="0.19791102409362801"/>
    <n v="1.72919154167175"/>
    <x v="2"/>
  </r>
  <r>
    <x v="91"/>
    <x v="10"/>
    <n v="84"/>
    <n v="5.2350001335143999"/>
    <m/>
    <n v="5.31834096476436"/>
    <n v="5.1516593022644503"/>
    <n v="0.87811458110809304"/>
    <n v="0.77486443519592296"/>
    <m/>
    <n v="0.59771066904068004"/>
    <n v="0.40815833210945102"/>
    <n v="8.7763182818889604E-2"/>
    <n v="3.2209955155849498E-2"/>
    <n v="2.4561893939971902"/>
    <x v="2"/>
  </r>
  <r>
    <x v="79"/>
    <x v="10"/>
    <n v="85"/>
    <n v="5.2340002059936497"/>
    <m/>
    <n v="5.2992865352332599"/>
    <n v="5.1687138767540501"/>
    <n v="1.1536017656326301"/>
    <n v="1.15240025520325"/>
    <m/>
    <n v="0.54077577590942405"/>
    <n v="0.398155838251114"/>
    <n v="0.18098750710487399"/>
    <n v="4.5269340276718098E-2"/>
    <n v="1.7624816894531199"/>
    <x v="2"/>
  </r>
  <r>
    <x v="97"/>
    <x v="10"/>
    <n v="86"/>
    <n v="5.2300000190734899"/>
    <m/>
    <n v="5.3490608851611601"/>
    <n v="5.1109391529858099"/>
    <n v="1.07937383651733"/>
    <n v="1.40241670608521"/>
    <m/>
    <n v="0.57487374544143699"/>
    <n v="0.55258983373642001"/>
    <n v="0.113945253193378"/>
    <n v="0.18696784973144501"/>
    <n v="1.3194651603698699"/>
    <x v="2"/>
  </r>
  <r>
    <x v="101"/>
    <x v="10"/>
    <n v="87"/>
    <n v="5.2270002365112296"/>
    <m/>
    <n v="5.3252461694180999"/>
    <n v="5.1287543036043601"/>
    <n v="1.2894874811172501"/>
    <n v="1.2394145727157599"/>
    <m/>
    <n v="0.81019890308380105"/>
    <n v="9.5731250941753401E-2"/>
    <n v="4.3289776891469997E-2"/>
    <n v="0"/>
    <n v="1.7492215633392301"/>
    <x v="2"/>
  </r>
  <r>
    <x v="102"/>
    <x v="10"/>
    <n v="88"/>
    <n v="5.2249999046325701"/>
    <m/>
    <n v="5.3188822884857698"/>
    <n v="5.1311175207793696"/>
    <n v="1.0749875307083101"/>
    <n v="1.1296242475509599"/>
    <m/>
    <n v="0.73508107662200906"/>
    <n v="0.288515985012054"/>
    <n v="3.7513829767704003E-2"/>
    <n v="0.26445075869560197"/>
    <n v="1.69507384300232"/>
    <x v="2"/>
  </r>
  <r>
    <x v="87"/>
    <x v="10"/>
    <n v="89"/>
    <n v="5.1950001716613796"/>
    <m/>
    <n v="5.2850417330861097"/>
    <n v="5.1049586102366504"/>
    <n v="1.3151752948761"/>
    <n v="1.36704301834106"/>
    <m/>
    <n v="0.79584354162216198"/>
    <n v="0.49846529960632302"/>
    <n v="1.5869451686739901E-2"/>
    <n v="9.5102712512016296E-2"/>
    <n v="1.10768270492554"/>
    <x v="2"/>
  </r>
  <r>
    <x v="95"/>
    <x v="10"/>
    <n v="90"/>
    <n v="5.1820001602172896"/>
    <m/>
    <n v="5.27633568674326"/>
    <n v="5.0876646336913103"/>
    <n v="0.98240941762924205"/>
    <n v="1.0693359375"/>
    <m/>
    <n v="0.705186307430267"/>
    <n v="0.204403176903725"/>
    <n v="0"/>
    <n v="0.32886749505996699"/>
    <n v="1.89217257499695"/>
    <x v="2"/>
  </r>
  <r>
    <x v="104"/>
    <x v="10"/>
    <n v="91"/>
    <n v="5.1810002326965297"/>
    <m/>
    <n v="5.30158279687166"/>
    <n v="5.0604176685214002"/>
    <n v="0.73057311773300204"/>
    <n v="1.1439449787139899"/>
    <m/>
    <n v="0.582569479942322"/>
    <n v="0.34807986021041898"/>
    <n v="7.3345452547073406E-2"/>
    <n v="0.23618887364864299"/>
    <n v="2.0658111572265598"/>
    <x v="2"/>
  </r>
  <r>
    <x v="92"/>
    <x v="10"/>
    <n v="92"/>
    <n v="5.1750001907348597"/>
    <m/>
    <n v="5.27217263966799"/>
    <n v="5.0778277418017401"/>
    <n v="1.0645779371261599"/>
    <n v="1.2078930139541599"/>
    <m/>
    <n v="0.64494818449020397"/>
    <n v="0.32590597867965698"/>
    <n v="6.0277793556451797E-2"/>
    <n v="0.25376096367835999"/>
    <n v="1.6174693107605"/>
    <x v="2"/>
  </r>
  <r>
    <x v="160"/>
    <x v="10"/>
    <n v="93"/>
    <n v="5.15100002288818"/>
    <m/>
    <n v="5.2424837099015704"/>
    <n v="5.0595163358748003"/>
    <n v="2.2643184289336201E-2"/>
    <n v="0.72115135192871105"/>
    <m/>
    <n v="0.113989137113094"/>
    <n v="0.60212695598602295"/>
    <n v="0.28241032361984297"/>
    <n v="0.29163131117820701"/>
    <n v="3.1174845695495601"/>
    <x v="2"/>
  </r>
  <r>
    <x v="74"/>
    <x v="10"/>
    <n v="94"/>
    <n v="5.0739998817443803"/>
    <m/>
    <n v="5.1472807645797696"/>
    <n v="5.000718998909"/>
    <n v="0.78854757547378496"/>
    <n v="1.2774913311004601"/>
    <m/>
    <n v="0.652168989181519"/>
    <n v="0.57105559110641502"/>
    <n v="8.7633237242698697E-2"/>
    <n v="0.234968051314354"/>
    <n v="1.46231865882874"/>
    <x v="2"/>
  </r>
  <r>
    <x v="77"/>
    <x v="10"/>
    <n v="95"/>
    <n v="5.0739998817443803"/>
    <m/>
    <n v="5.2095001354813597"/>
    <n v="4.9384996280074098"/>
    <n v="0.78375625610351596"/>
    <n v="1.21577048301697"/>
    <m/>
    <n v="5.6915730237960802E-2"/>
    <n v="0.39495256543159502"/>
    <n v="2.61215660721064E-2"/>
    <n v="0.23094719648361201"/>
    <n v="2.3653905391693102"/>
    <x v="2"/>
  </r>
  <r>
    <x v="105"/>
    <x v="10"/>
    <n v="96"/>
    <n v="5.0409998893737802"/>
    <m/>
    <n v="5.1114255958795596"/>
    <n v="4.9705741828679999"/>
    <n v="0.524713635444641"/>
    <n v="1.27146327495575"/>
    <m/>
    <n v="0.52923512458801303"/>
    <n v="0.47156670689582803"/>
    <n v="0.14637714624404899"/>
    <n v="0.24899764358997301"/>
    <n v="1.84904932975769"/>
    <x v="2"/>
  </r>
  <r>
    <x v="78"/>
    <x v="10"/>
    <n v="97"/>
    <n v="5.0110001564025897"/>
    <m/>
    <n v="5.0793345621228196"/>
    <n v="4.9426657506823499"/>
    <n v="0.88541638851165805"/>
    <n v="1.34012651443481"/>
    <m/>
    <n v="0.49587929248809798"/>
    <n v="0.50153768062591597"/>
    <n v="0.17338038980960799"/>
    <n v="0.474054545164108"/>
    <n v="1.1401844024658201"/>
    <x v="2"/>
  </r>
  <r>
    <x v="76"/>
    <x v="10"/>
    <n v="98"/>
    <n v="5.0040001869201696"/>
    <m/>
    <n v="5.0899199031293403"/>
    <n v="4.91808047071099"/>
    <n v="0.59622007608413696"/>
    <n v="1.3942385911941499"/>
    <m/>
    <n v="0.55345779657363903"/>
    <n v="0.45494338870048501"/>
    <n v="3.9439179003238699E-2"/>
    <n v="0.42858037352562001"/>
    <n v="1.5367231369018599"/>
    <x v="2"/>
  </r>
  <r>
    <x v="120"/>
    <x v="10"/>
    <n v="99"/>
    <n v="4.9619998931884801"/>
    <m/>
    <n v="5.0673560793697803"/>
    <n v="4.8566437070071702"/>
    <n v="0.47982019186019897"/>
    <n v="1.17928326129913"/>
    <m/>
    <n v="0.50413078069686901"/>
    <n v="0.44030594825744601"/>
    <n v="7.2975546121597304E-2"/>
    <n v="0.39409616589546198"/>
    <n v="1.8912410736084"/>
    <x v="2"/>
  </r>
  <r>
    <x v="99"/>
    <x v="10"/>
    <n v="100"/>
    <n v="4.9549999237060502"/>
    <m/>
    <n v="5.0216795091330999"/>
    <n v="4.8883203382790104"/>
    <n v="1.0272358655929601"/>
    <n v="1.4930112361907999"/>
    <m/>
    <n v="0.55778348445892301"/>
    <n v="0.39414396882057201"/>
    <n v="3.2902289181947701E-2"/>
    <n v="0.33846423029899603"/>
    <n v="1.1112923622131301"/>
    <x v="2"/>
  </r>
  <r>
    <x v="112"/>
    <x v="10"/>
    <n v="101"/>
    <n v="4.8289999961853001"/>
    <m/>
    <n v="4.9294351877272096"/>
    <n v="4.7285648046433897"/>
    <n v="1.05469870567322"/>
    <n v="1.38478863239288"/>
    <m/>
    <n v="0.18708007037639601"/>
    <n v="0.479246735572815"/>
    <n v="7.2509497404098497E-2"/>
    <n v="0.13936237990856201"/>
    <n v="1.51090860366821"/>
    <x v="2"/>
  </r>
  <r>
    <x v="106"/>
    <x v="10"/>
    <n v="102"/>
    <n v="4.8049998283386204"/>
    <m/>
    <n v="4.8843670070171399"/>
    <n v="4.7256326496601098"/>
    <n v="1.0072658061981199"/>
    <n v="0.86835145950317405"/>
    <m/>
    <n v="0.61321204900741599"/>
    <n v="0.28968068957328802"/>
    <n v="8.6723148822784396E-2"/>
    <n v="4.96933571994305E-2"/>
    <n v="1.8902511596679701"/>
    <x v="2"/>
  </r>
  <r>
    <x v="107"/>
    <x v="10"/>
    <n v="103"/>
    <n v="4.7750000953674299"/>
    <m/>
    <n v="4.8818483425676797"/>
    <n v="4.66815184816718"/>
    <n v="0.71624922752380404"/>
    <n v="1.1556471586227399"/>
    <m/>
    <n v="0.56566697359085105"/>
    <n v="0.25471106171607999"/>
    <n v="8.9282602071762099E-2"/>
    <n v="0.114173173904419"/>
    <n v="1.8788902759552"/>
    <x v="2"/>
  </r>
  <r>
    <x v="134"/>
    <x v="10"/>
    <n v="104"/>
    <n v="4.7350001335143999"/>
    <m/>
    <n v="4.8251337896287403"/>
    <n v="4.6448664774000603"/>
    <n v="0.989701807498932"/>
    <n v="0.99747139215469405"/>
    <m/>
    <n v="0.52018725872039795"/>
    <n v="0.282110154628754"/>
    <n v="0.114381365478039"/>
    <n v="0.12863144278526301"/>
    <n v="1.7021610736846899"/>
    <x v="2"/>
  </r>
  <r>
    <x v="133"/>
    <x v="10"/>
    <n v="105"/>
    <n v="4.7140002250671396"/>
    <m/>
    <n v="4.8036947064101696"/>
    <n v="4.6243057437241104"/>
    <n v="1.1614590883255"/>
    <n v="1.4343794584274301"/>
    <m/>
    <n v="0.70821768045425404"/>
    <n v="0.289231717586517"/>
    <n v="1.1051530949771401E-2"/>
    <n v="0.11317769438028299"/>
    <n v="0.99613928794860795"/>
    <x v="2"/>
  </r>
  <r>
    <x v="122"/>
    <x v="10"/>
    <n v="106"/>
    <n v="4.7090001106262198"/>
    <m/>
    <n v="4.8506433349847802"/>
    <n v="4.5673568862676603"/>
    <n v="0.36842092871665999"/>
    <n v="0.98413604497909501"/>
    <m/>
    <n v="5.5647538974881198E-3"/>
    <n v="0.31869769096374501"/>
    <n v="7.1095176041126307E-2"/>
    <n v="0.293040901422501"/>
    <n v="2.6684598922729501"/>
    <x v="2"/>
  </r>
  <r>
    <x v="132"/>
    <x v="10"/>
    <n v="107"/>
    <n v="4.6950001716613796"/>
    <m/>
    <n v="4.7965408572554598"/>
    <n v="4.5934594860673004"/>
    <n v="0.56430536508560203"/>
    <n v="0.94601821899414096"/>
    <m/>
    <n v="0.13289211690425901"/>
    <n v="0.43038874864578203"/>
    <n v="5.1306631416082403E-2"/>
    <n v="0.23629845678806299"/>
    <n v="2.3336455821990998"/>
    <x v="2"/>
  </r>
  <r>
    <x v="109"/>
    <x v="10"/>
    <n v="108"/>
    <n v="4.6919999122619602"/>
    <m/>
    <n v="4.7982247076928601"/>
    <n v="4.5857751168310603"/>
    <n v="1.1568731069564799"/>
    <n v="0.71155124902725198"/>
    <m/>
    <n v="0.63933318853378296"/>
    <n v="0.24932260811328899"/>
    <n v="4.8761073499917998E-2"/>
    <n v="0.38724291324615501"/>
    <n v="1.49873495101929"/>
    <x v="2"/>
  </r>
  <r>
    <x v="94"/>
    <x v="10"/>
    <n v="109"/>
    <n v="4.6440000534057599"/>
    <m/>
    <n v="4.7524640063941499"/>
    <n v="4.5355361004173798"/>
    <n v="0.99619275331497203"/>
    <n v="0.80368524789810203"/>
    <m/>
    <n v="0.73115974664688099"/>
    <n v="0.38149863481521601"/>
    <n v="3.9864215999841697E-2"/>
    <n v="0.20131294429302199"/>
    <n v="1.4904415607452399"/>
    <x v="2"/>
  </r>
  <r>
    <x v="108"/>
    <x v="10"/>
    <n v="110"/>
    <n v="4.6079998016357404"/>
    <m/>
    <n v="4.6898216582834698"/>
    <n v="4.5261779449880102"/>
    <n v="0.58668297529220603"/>
    <n v="0.73513174057006803"/>
    <m/>
    <n v="0.53324103355407704"/>
    <n v="0.47835665941238398"/>
    <n v="0.123717859387398"/>
    <n v="0.17225535213947299"/>
    <n v="1.9787361621856701"/>
    <x v="2"/>
  </r>
  <r>
    <x v="161"/>
    <x v="10"/>
    <n v="111"/>
    <n v="4.5739998817443803"/>
    <m/>
    <n v="4.7703547409176803"/>
    <n v="4.3776450225710901"/>
    <n v="0.96443432569503795"/>
    <n v="1.0984708070755"/>
    <m/>
    <n v="0.33861181139946001"/>
    <n v="0.52030354738235496"/>
    <n v="9.3146972358226804E-2"/>
    <n v="7.7133744955062894E-2"/>
    <n v="1.4818902015686"/>
    <x v="2"/>
  </r>
  <r>
    <x v="124"/>
    <x v="10"/>
    <n v="112"/>
    <n v="4.55299997329712"/>
    <m/>
    <n v="4.6556915906071703"/>
    <n v="4.4503083559870698"/>
    <n v="0.56047946214675903"/>
    <n v="1.0679507255554199"/>
    <m/>
    <n v="0.30998834967613198"/>
    <n v="0.45276376605033902"/>
    <n v="6.4641319215297699E-2"/>
    <n v="0.444860309362411"/>
    <n v="1.6519021987914999"/>
    <x v="2"/>
  </r>
  <r>
    <x v="93"/>
    <x v="10"/>
    <n v="113"/>
    <n v="4.5500001907348597"/>
    <m/>
    <n v="4.7741023263335203"/>
    <n v="4.3258980551362001"/>
    <n v="0.234305649995804"/>
    <n v="0.87070101499557495"/>
    <m/>
    <n v="0.106654435396194"/>
    <n v="0.48079109191894498"/>
    <n v="0.179436385631561"/>
    <n v="0.322228103876114"/>
    <n v="2.35565090179443"/>
    <x v="2"/>
  </r>
  <r>
    <x v="128"/>
    <x v="10"/>
    <n v="114"/>
    <n v="4.5450000762939498"/>
    <m/>
    <n v="4.6147399464249599"/>
    <n v="4.4752602061629299"/>
    <n v="0.36711055040359503"/>
    <n v="1.12323594093323"/>
    <m/>
    <n v="0.39752256870269798"/>
    <n v="0.51449203491210904"/>
    <n v="0.18881620466709101"/>
    <n v="0.83807516098022505"/>
    <n v="1.11529040336609"/>
    <x v="2"/>
  </r>
  <r>
    <x v="141"/>
    <x v="10"/>
    <n v="115"/>
    <n v="4.5349998474121103"/>
    <m/>
    <n v="4.6016037812828996"/>
    <n v="4.46839591354132"/>
    <n v="0.479309022426605"/>
    <n v="1.17969191074371"/>
    <m/>
    <n v="0.409362852573395"/>
    <n v="0.37792226672172502"/>
    <n v="0.115460447967052"/>
    <n v="0.183468893170357"/>
    <n v="1.78964614868164"/>
    <x v="2"/>
  </r>
  <r>
    <x v="84"/>
    <x v="10"/>
    <n v="116"/>
    <n v="4.5139999389648402"/>
    <m/>
    <n v="4.64410550147295"/>
    <n v="4.3838943764567402"/>
    <n v="0.63640677928924605"/>
    <n v="1.0031872987747199"/>
    <m/>
    <n v="0.25783589482307401"/>
    <n v="0.46160349249839799"/>
    <n v="7.8213550150394398E-2"/>
    <n v="0.24958014488220201"/>
    <n v="1.82670545578003"/>
    <x v="2"/>
  </r>
  <r>
    <x v="111"/>
    <x v="10"/>
    <n v="117"/>
    <n v="4.4970002174377397"/>
    <m/>
    <n v="4.6225914096832303"/>
    <n v="4.3714090251922597"/>
    <n v="1.10271048545837"/>
    <n v="0.97861319780349698"/>
    <m/>
    <n v="0.50118046998977706"/>
    <n v="0.28855553269386303"/>
    <n v="0.10721575468778601"/>
    <n v="0.19963726401328999"/>
    <n v="1.3189072608947801"/>
    <x v="2"/>
  </r>
  <r>
    <x v="142"/>
    <x v="10"/>
    <n v="118"/>
    <n v="4.4650001525878897"/>
    <m/>
    <n v="4.5573617656529004"/>
    <n v="4.3726385395228897"/>
    <n v="1.1982102394103999"/>
    <n v="1.1556202173232999"/>
    <m/>
    <n v="0.356578588485718"/>
    <n v="0.31232857704162598"/>
    <n v="7.6046787202358204E-2"/>
    <n v="4.3785378336906398E-2"/>
    <n v="1.3229162693023699"/>
    <x v="2"/>
  </r>
  <r>
    <x v="121"/>
    <x v="10"/>
    <n v="119"/>
    <n v="4.46000003814697"/>
    <m/>
    <n v="4.5427286766469503"/>
    <n v="4.3772713996470003"/>
    <n v="0.33923384547233598"/>
    <n v="0.86466920375823997"/>
    <m/>
    <n v="0.35340970754623402"/>
    <n v="0.40884274244308499"/>
    <n v="0.16545571386814101"/>
    <n v="0.31265074014663702"/>
    <n v="2.0157437324523899"/>
    <x v="2"/>
  </r>
  <r>
    <x v="131"/>
    <x v="10"/>
    <n v="120"/>
    <n v="4.4400000572204599"/>
    <m/>
    <n v="4.5534471923112898"/>
    <n v="4.3265529221296299"/>
    <n v="1.0098501443862899"/>
    <n v="1.25997638702393"/>
    <m/>
    <n v="0.62513083219528198"/>
    <n v="0.56121325492858898"/>
    <n v="7.36539661884308E-2"/>
    <n v="0.49086356163024902"/>
    <n v="0.419389247894287"/>
    <x v="2"/>
  </r>
  <r>
    <x v="126"/>
    <x v="10"/>
    <n v="121"/>
    <n v="4.3759999275207502"/>
    <m/>
    <n v="4.46673461228609"/>
    <n v="4.2852652427554103"/>
    <n v="0.90059673786163297"/>
    <n v="1.0074837207794201"/>
    <m/>
    <n v="0.63752442598342896"/>
    <n v="0.198303267359734"/>
    <n v="2.66744215041399E-2"/>
    <n v="8.3488091826438904E-2"/>
    <n v="1.5214991569519001"/>
    <x v="2"/>
  </r>
  <r>
    <x v="116"/>
    <x v="10"/>
    <n v="122"/>
    <n v="4.3150000572204599"/>
    <m/>
    <n v="4.3715220174938398"/>
    <n v="4.2584780969470701"/>
    <n v="0.79222124814987205"/>
    <n v="0.75437259674072299"/>
    <m/>
    <n v="0.455427616834641"/>
    <n v="0.46998700499534601"/>
    <n v="9.22268852591515E-2"/>
    <n v="0.23153848946094499"/>
    <n v="1.5191171169280999"/>
    <x v="2"/>
  </r>
  <r>
    <x v="123"/>
    <x v="10"/>
    <n v="123"/>
    <n v="4.2919998168945304"/>
    <m/>
    <n v="4.3771636162698302"/>
    <n v="4.2068360175192403"/>
    <n v="0.64845728874206499"/>
    <n v="1.2720308303832999"/>
    <m/>
    <n v="0.28534927964210499"/>
    <n v="9.6098043024539906E-2"/>
    <n v="0.13695700466632801"/>
    <n v="0.20187002420425401"/>
    <n v="1.6516373157501201"/>
    <x v="2"/>
  </r>
  <r>
    <x v="138"/>
    <x v="10"/>
    <n v="124"/>
    <n v="4.2909998893737802"/>
    <m/>
    <n v="4.4100535050034502"/>
    <n v="4.1719462737441102"/>
    <n v="0.80896425247192405"/>
    <n v="0.83204436302185103"/>
    <m/>
    <n v="0.28995743393897999"/>
    <n v="0.43502587080001798"/>
    <n v="7.9618133604526506E-2"/>
    <n v="0.120852127671242"/>
    <n v="1.7241356372833301"/>
    <x v="2"/>
  </r>
  <r>
    <x v="129"/>
    <x v="10"/>
    <n v="125"/>
    <n v="4.2859997749328604"/>
    <m/>
    <n v="4.3749339658021897"/>
    <n v="4.1970655840635303"/>
    <n v="0.95061266422271695"/>
    <n v="0.57061493396759"/>
    <m/>
    <n v="0.64954698085784901"/>
    <n v="0.30941003561019897"/>
    <n v="0.25166663527488697"/>
    <n v="5.4008815437555299E-2"/>
    <n v="1.50013780593872"/>
    <x v="2"/>
  </r>
  <r>
    <x v="119"/>
    <x v="10"/>
    <n v="126"/>
    <n v="4.2800002098083496"/>
    <m/>
    <n v="4.3578108327090703"/>
    <n v="4.2021895869076298"/>
    <n v="9.2102348804473905E-2"/>
    <n v="1.2290234565734901"/>
    <m/>
    <n v="0.191407024860382"/>
    <n v="0.23596134781837499"/>
    <n v="6.02413564920425E-2"/>
    <n v="0.246455833315849"/>
    <n v="2.2249586582183798"/>
    <x v="2"/>
  </r>
  <r>
    <x v="137"/>
    <x v="10"/>
    <n v="127"/>
    <n v="4.1900000572204599"/>
    <m/>
    <n v="4.26967071101069"/>
    <n v="4.11032940343022"/>
    <n v="0.47618049383163502"/>
    <n v="1.2814733982086199"/>
    <m/>
    <n v="0.169365674257278"/>
    <n v="0.30661374330520602"/>
    <n v="0.10497024655342101"/>
    <n v="0.18335419893264801"/>
    <n v="1.66819095611572"/>
    <x v="2"/>
  </r>
  <r>
    <x v="150"/>
    <x v="10"/>
    <n v="128"/>
    <n v="4.1799998283386204"/>
    <m/>
    <n v="4.2751825632154903"/>
    <n v="4.0848170934617496"/>
    <n v="0.60304892063140902"/>
    <n v="0.90478003025054898"/>
    <m/>
    <n v="4.8642169684171697E-2"/>
    <n v="0.44770619273185702"/>
    <n v="0.130061775445938"/>
    <n v="0.20123746991157501"/>
    <n v="1.84496426582336"/>
    <x v="2"/>
  </r>
  <r>
    <x v="144"/>
    <x v="10"/>
    <n v="129"/>
    <n v="4.1680002212524396"/>
    <m/>
    <n v="4.27851781353354"/>
    <n v="4.0574826289713402"/>
    <n v="0.601765096187592"/>
    <n v="1.0062383413314799"/>
    <m/>
    <n v="0.42978340387344399"/>
    <n v="0.63337582349777199"/>
    <n v="6.8105950951576205E-2"/>
    <n v="0.38592296838760398"/>
    <n v="1.04294109344482"/>
    <x v="2"/>
  </r>
  <r>
    <x v="117"/>
    <x v="10"/>
    <n v="130"/>
    <n v="4.1389999389648402"/>
    <m/>
    <n v="4.3457471650838899"/>
    <n v="3.9322527128457998"/>
    <n v="0.65951669216155995"/>
    <n v="1.2140085697174099"/>
    <m/>
    <n v="0.29092082381248502"/>
    <n v="1.49958552792668E-2"/>
    <n v="8.9847519993782002E-2"/>
    <n v="0.182317450642586"/>
    <n v="1.6870658397674601"/>
    <x v="2"/>
  </r>
  <r>
    <x v="113"/>
    <x v="10"/>
    <n v="131"/>
    <n v="4.1199998855590803"/>
    <m/>
    <n v="4.22270720854402"/>
    <n v="4.0172925625741502"/>
    <n v="0.66722482442855802"/>
    <n v="0.87366473674774203"/>
    <m/>
    <n v="0.295637726783752"/>
    <n v="0.423026293516159"/>
    <n v="2.5336369872093201E-2"/>
    <n v="0.25692394375801098"/>
    <n v="1.5778675079345701"/>
    <x v="2"/>
  </r>
  <r>
    <x v="110"/>
    <x v="10"/>
    <n v="132"/>
    <n v="4.0960001945495597"/>
    <m/>
    <n v="4.1854101045429699"/>
    <n v="4.0065902845561503"/>
    <n v="0.89465194940567005"/>
    <n v="1.39453756809235"/>
    <m/>
    <n v="0.57590395212173495"/>
    <n v="0.122974775731564"/>
    <n v="2.3029470816254598E-2"/>
    <n v="0.27006146311759899"/>
    <n v="0.81438231468200695"/>
    <x v="2"/>
  </r>
  <r>
    <x v="140"/>
    <x v="10"/>
    <n v="133"/>
    <n v="4.0809998512268102"/>
    <m/>
    <n v="4.1957999670505499"/>
    <n v="3.9661997354030598"/>
    <n v="0.38143071532249501"/>
    <n v="1.12982773780823"/>
    <m/>
    <n v="0.217632606625557"/>
    <n v="0.443185955286026"/>
    <n v="5.7069718837738002E-2"/>
    <n v="0.32576605677604697"/>
    <n v="1.526362657547"/>
    <x v="2"/>
  </r>
  <r>
    <x v="151"/>
    <x v="10"/>
    <n v="134"/>
    <n v="4.03200006484985"/>
    <m/>
    <n v="4.1240590643882804"/>
    <n v="3.9399410653114302"/>
    <n v="0.35022771358490001"/>
    <n v="1.04328000545502"/>
    <m/>
    <n v="0.21584425866603901"/>
    <n v="0.32436785101890597"/>
    <n v="0.120328105986118"/>
    <n v="0.25086468458175698"/>
    <n v="1.72721290588379"/>
    <x v="2"/>
  </r>
  <r>
    <x v="143"/>
    <x v="10"/>
    <n v="135"/>
    <n v="4.0279998779296902"/>
    <m/>
    <n v="4.1119468197226503"/>
    <n v="3.9440529361367198"/>
    <n v="0.16192533075809501"/>
    <n v="0.99302500486373901"/>
    <m/>
    <n v="0.26850500702857999"/>
    <n v="0.36365869641303999"/>
    <n v="0.13857294619083399"/>
    <n v="0.228673845529556"/>
    <n v="1.87398338317871"/>
    <x v="2"/>
  </r>
  <r>
    <x v="130"/>
    <x v="10"/>
    <n v="136"/>
    <n v="3.9700000286102299"/>
    <m/>
    <n v="4.0774788174033203"/>
    <n v="3.86252123981714"/>
    <n v="0.233442038297653"/>
    <n v="0.51256883144378695"/>
    <m/>
    <n v="0.31508958339691201"/>
    <n v="0.46691465377807601"/>
    <n v="7.2711654007434803E-2"/>
    <n v="0.287170469760895"/>
    <n v="2.08178615570068"/>
    <x v="2"/>
  </r>
  <r>
    <x v="148"/>
    <x v="10"/>
    <n v="137"/>
    <n v="3.9360001087188698"/>
    <m/>
    <n v="4.0347115239500999"/>
    <n v="3.8372886934876398"/>
    <n v="0.43801298737525901"/>
    <n v="0.95385587215423595"/>
    <m/>
    <n v="4.1134715080261203E-2"/>
    <n v="0.16234202682971999"/>
    <n v="5.3581882268190398E-2"/>
    <n v="0.21611385047435799"/>
    <n v="2.07123804092407"/>
    <x v="2"/>
  </r>
  <r>
    <x v="114"/>
    <x v="10"/>
    <n v="138"/>
    <n v="3.875"/>
    <m/>
    <n v="3.97869964271784"/>
    <n v="3.77130035728216"/>
    <n v="0.37584653496742199"/>
    <n v="1.08309590816498"/>
    <m/>
    <n v="0.19676375389099099"/>
    <n v="0.336384207010269"/>
    <n v="9.5375381410121904E-2"/>
    <n v="0.18914349377155301"/>
    <n v="1.5979702472686801"/>
    <x v="2"/>
  </r>
  <r>
    <x v="96"/>
    <x v="10"/>
    <n v="139"/>
    <n v="3.8080000877380402"/>
    <m/>
    <n v="4.0443439754843702"/>
    <n v="3.5716561999917"/>
    <n v="0.52102124691009499"/>
    <n v="1.1900951862335201"/>
    <m/>
    <n v="0"/>
    <n v="0.39066129922866799"/>
    <n v="0.11909464001655599"/>
    <n v="0.15749727189540899"/>
    <n v="1.4298353195190401"/>
    <x v="2"/>
  </r>
  <r>
    <x v="136"/>
    <x v="10"/>
    <n v="140"/>
    <n v="3.7950000762939502"/>
    <m/>
    <n v="3.9516419354081198"/>
    <n v="3.6383582171797801"/>
    <n v="0.85842818021774303"/>
    <n v="1.1044119596481301"/>
    <m/>
    <n v="4.9868665635585799E-2"/>
    <n v="0"/>
    <n v="6.9720335304737105E-2"/>
    <n v="9.7926490008830996E-2"/>
    <n v="1.6144824028015099"/>
    <x v="2"/>
  </r>
  <r>
    <x v="152"/>
    <x v="10"/>
    <n v="141"/>
    <n v="3.7939999103546098"/>
    <m/>
    <n v="3.8736614152789102"/>
    <n v="3.7143384054303201"/>
    <n v="0.40147721767425498"/>
    <n v="0.58154332637786899"/>
    <m/>
    <n v="0.18074677884578699"/>
    <n v="0.10617952048778501"/>
    <n v="6.1157830059528399E-2"/>
    <n v="0.31187093257904103"/>
    <n v="2.1508011817932098"/>
    <x v="2"/>
  </r>
  <r>
    <x v="127"/>
    <x v="10"/>
    <n v="142"/>
    <n v="3.7660000324249299"/>
    <m/>
    <n v="3.8741226662695398"/>
    <n v="3.6578773985803101"/>
    <n v="1.1220941543579099"/>
    <n v="1.2215549945831301"/>
    <m/>
    <n v="0.34175550937652599"/>
    <n v="0.505196332931519"/>
    <n v="9.8583199083805098E-2"/>
    <n v="9.9348448216915103E-2"/>
    <n v="0.37791371345519997"/>
    <x v="2"/>
  </r>
  <r>
    <x v="154"/>
    <x v="10"/>
    <n v="143"/>
    <n v="3.65700006484985"/>
    <m/>
    <n v="3.7457835513353301"/>
    <n v="3.5682165783643698"/>
    <n v="0.43108540773391701"/>
    <n v="0.435299843549728"/>
    <m/>
    <n v="0.20993021130561801"/>
    <n v="0.42596277594566301"/>
    <n v="6.0929015278816202E-2"/>
    <n v="0.20794846117496499"/>
    <n v="1.88563096523285"/>
    <x v="2"/>
  </r>
  <r>
    <x v="146"/>
    <x v="10"/>
    <n v="144"/>
    <n v="3.6440000534057599"/>
    <m/>
    <n v="3.7143191058933702"/>
    <n v="3.5736810009181501"/>
    <n v="0.30580869317054699"/>
    <n v="0.91302037239074696"/>
    <m/>
    <n v="0.375223308801651"/>
    <n v="0.18919676542282099"/>
    <n v="6.7231975495815305E-2"/>
    <n v="0.208732530474663"/>
    <n v="1.58461260795593"/>
    <x v="2"/>
  </r>
  <r>
    <x v="118"/>
    <x v="10"/>
    <n v="145"/>
    <n v="3.6029999256134002"/>
    <m/>
    <n v="3.7347147977352102"/>
    <n v="3.4712850534915898"/>
    <n v="0.36861026287078902"/>
    <n v="0.64044982194900502"/>
    <m/>
    <n v="0.27732113003730802"/>
    <n v="3.0369857326149899E-2"/>
    <n v="9.9872149527072906E-2"/>
    <n v="0.489203780889511"/>
    <n v="1.6971676349639899"/>
    <x v="2"/>
  </r>
  <r>
    <x v="135"/>
    <x v="10"/>
    <n v="146"/>
    <n v="3.59299993515015"/>
    <m/>
    <n v="3.6927503198385199"/>
    <n v="3.49324955046177"/>
    <n v="0.59168344736099199"/>
    <n v="0.93538224697113004"/>
    <m/>
    <n v="0.310080915689468"/>
    <n v="0.24946372210979501"/>
    <n v="5.67674227058887E-2"/>
    <n v="0.104125209152699"/>
    <n v="1.3456006050109901"/>
    <x v="2"/>
  </r>
  <r>
    <x v="162"/>
    <x v="10"/>
    <n v="147"/>
    <n v="3.5910000801086399"/>
    <m/>
    <n v="3.7255385857820502"/>
    <n v="3.4564615744352301"/>
    <n v="0.39724862575531"/>
    <n v="0.60132312774658203"/>
    <m/>
    <n v="0.16348600387573201"/>
    <n v="0.14706243574619299"/>
    <n v="0.116793513298035"/>
    <n v="0.285670816898346"/>
    <n v="1.87956738471985"/>
    <x v="2"/>
  </r>
  <r>
    <x v="115"/>
    <x v="10"/>
    <n v="148"/>
    <n v="3.5329999923706099"/>
    <m/>
    <n v="3.6537562608718899"/>
    <n v="3.4122437238693202"/>
    <n v="0.119041793048382"/>
    <n v="0.87211793661117598"/>
    <m/>
    <n v="0.22991819679737099"/>
    <n v="0.33288118243217502"/>
    <n v="3.8948249071836499E-2"/>
    <n v="0.26654988527298001"/>
    <n v="1.6732859611511199"/>
    <x v="2"/>
  </r>
  <r>
    <x v="149"/>
    <x v="10"/>
    <n v="149"/>
    <n v="3.5069999694824201"/>
    <m/>
    <n v="3.5844281288981401"/>
    <n v="3.4295718100667001"/>
    <n v="0.244549930095673"/>
    <n v="0.79124468564987205"/>
    <m/>
    <n v="0.194129139184952"/>
    <n v="0.34858751296997098"/>
    <n v="0.110937617719173"/>
    <n v="0.26481509208679199"/>
    <n v="1.55231189727783"/>
    <x v="2"/>
  </r>
  <r>
    <x v="157"/>
    <x v="10"/>
    <n v="150"/>
    <n v="3.4949998855590798"/>
    <m/>
    <n v="3.5940381117165101"/>
    <n v="3.3959616594016602"/>
    <n v="0.30544471740722701"/>
    <n v="0.43188253045082098"/>
    <m/>
    <n v="0.247105568647385"/>
    <n v="0.38042613863945002"/>
    <n v="9.5665015280246707E-2"/>
    <n v="0.19689615070819899"/>
    <n v="1.83722925186157"/>
    <x v="2"/>
  </r>
  <r>
    <x v="153"/>
    <x v="10"/>
    <n v="151"/>
    <n v="3.4709999561309801"/>
    <m/>
    <n v="3.5430302335321899"/>
    <n v="3.3989696787297698"/>
    <n v="0.36874589323997498"/>
    <n v="0.94570702314376798"/>
    <m/>
    <n v="0.32642480731010398"/>
    <n v="0.58184385299682595"/>
    <n v="0.45522001385688798"/>
    <n v="0.25275602936744701"/>
    <n v="0.540061235427856"/>
    <x v="2"/>
  </r>
  <r>
    <x v="155"/>
    <x v="10"/>
    <n v="152"/>
    <n v="3.4619998931884801"/>
    <m/>
    <n v="3.66366855680943"/>
    <n v="3.2603312295675302"/>
    <n v="0.77715313434600797"/>
    <n v="0.39610260725021401"/>
    <m/>
    <n v="0.50053334236144997"/>
    <n v="8.1539444625377697E-2"/>
    <n v="0.151347130537033"/>
    <n v="0.49366372823715199"/>
    <n v="1.06157350540161"/>
    <x v="2"/>
  </r>
  <r>
    <x v="145"/>
    <x v="10"/>
    <n v="153"/>
    <n v="3.34899997711182"/>
    <m/>
    <n v="3.4614297553896902"/>
    <n v="3.2365701988339399"/>
    <n v="0.51113587617874101"/>
    <n v="1.0419898033142101"/>
    <m/>
    <n v="0.36450928449630698"/>
    <n v="0.39001777768135099"/>
    <n v="6.6035106778144795E-2"/>
    <n v="0.354256361722946"/>
    <n v="0.62113046646118197"/>
    <x v="2"/>
  </r>
  <r>
    <x v="156"/>
    <x v="10"/>
    <n v="154"/>
    <n v="2.9049999713897701"/>
    <m/>
    <n v="3.0746903330087698"/>
    <n v="2.7353096097707699"/>
    <n v="9.1622568666934995E-2"/>
    <n v="0.62979358434677102"/>
    <m/>
    <n v="0.15161079168319699"/>
    <n v="5.9900753200054203E-2"/>
    <n v="8.4147945046424893E-2"/>
    <n v="0.204435184597969"/>
    <n v="1.6830241680145299"/>
    <x v="2"/>
  </r>
  <r>
    <x v="147"/>
    <x v="10"/>
    <n v="155"/>
    <n v="2.6930000782012899"/>
    <m/>
    <n v="2.8648842692375198"/>
    <n v="2.5211158871650698"/>
    <n v="0"/>
    <n v="0"/>
    <m/>
    <n v="1.8772685900330498E-2"/>
    <n v="0.270842045545578"/>
    <n v="5.6565076112747199E-2"/>
    <n v="0.28087648749351501"/>
    <n v="2.0660047531127899"/>
    <x v="2"/>
  </r>
  <r>
    <x v="5"/>
    <x v="10"/>
    <n v="1"/>
    <n v="7.6319999999999997"/>
    <m/>
    <m/>
    <m/>
    <n v="1.3049999999999999"/>
    <m/>
    <n v="1.5920000000000001"/>
    <n v="0.874"/>
    <n v="0.68100000000000005"/>
    <n v="0.39300000000000002"/>
    <n v="0.20200000000000001"/>
    <m/>
    <x v="3"/>
  </r>
  <r>
    <x v="3"/>
    <x v="10"/>
    <n v="2"/>
    <n v="7.5940000000000003"/>
    <m/>
    <m/>
    <m/>
    <n v="1.456"/>
    <m/>
    <n v="1.5820000000000001"/>
    <n v="0.86099999999999999"/>
    <n v="0.68600000000000005"/>
    <n v="0.34"/>
    <n v="0.28599999999999998"/>
    <m/>
    <x v="3"/>
  </r>
  <r>
    <x v="2"/>
    <x v="10"/>
    <n v="3"/>
    <n v="7.5549999999999997"/>
    <m/>
    <m/>
    <m/>
    <n v="1.351"/>
    <m/>
    <n v="1.59"/>
    <n v="0.86799999999999999"/>
    <n v="0.68300000000000005"/>
    <n v="0.40799999999999997"/>
    <n v="0.28399999999999997"/>
    <m/>
    <x v="3"/>
  </r>
  <r>
    <x v="1"/>
    <x v="10"/>
    <n v="4"/>
    <n v="7.4950000000000001"/>
    <m/>
    <m/>
    <m/>
    <n v="1.343"/>
    <m/>
    <n v="1.6439999999999999"/>
    <n v="0.91400000000000003"/>
    <n v="0.67700000000000005"/>
    <n v="0.13800000000000001"/>
    <n v="0.35299999999999998"/>
    <m/>
    <x v="3"/>
  </r>
  <r>
    <x v="0"/>
    <x v="10"/>
    <n v="5"/>
    <n v="7.4870000000000001"/>
    <m/>
    <m/>
    <m/>
    <n v="1.42"/>
    <m/>
    <n v="1.5489999999999999"/>
    <n v="0.92700000000000005"/>
    <n v="0.66"/>
    <n v="0.35699999999999998"/>
    <n v="0.25600000000000001"/>
    <m/>
    <x v="3"/>
  </r>
  <r>
    <x v="6"/>
    <x v="10"/>
    <n v="6"/>
    <n v="7.4409999999999998"/>
    <m/>
    <m/>
    <m/>
    <n v="1.361"/>
    <m/>
    <n v="1.488"/>
    <n v="0.878"/>
    <n v="0.63800000000000001"/>
    <n v="0.29499999999999998"/>
    <n v="0.33300000000000002"/>
    <m/>
    <x v="3"/>
  </r>
  <r>
    <x v="4"/>
    <x v="10"/>
    <n v="7"/>
    <n v="7.3280000000000003"/>
    <m/>
    <m/>
    <m/>
    <n v="1.33"/>
    <m/>
    <n v="1.532"/>
    <n v="0.89600000000000002"/>
    <n v="0.65300000000000002"/>
    <n v="0.29099999999999998"/>
    <n v="0.32100000000000001"/>
    <m/>
    <x v="3"/>
  </r>
  <r>
    <x v="8"/>
    <x v="10"/>
    <n v="8"/>
    <n v="7.3239999999999998"/>
    <m/>
    <m/>
    <m/>
    <n v="1.268"/>
    <m/>
    <n v="1.601"/>
    <n v="0.876"/>
    <n v="0.66900000000000004"/>
    <n v="0.38900000000000001"/>
    <n v="0.36499999999999999"/>
    <m/>
    <x v="3"/>
  </r>
  <r>
    <x v="7"/>
    <x v="10"/>
    <n v="9"/>
    <n v="7.3140000000000001"/>
    <m/>
    <m/>
    <m/>
    <n v="1.355"/>
    <m/>
    <n v="1.5009999999999999"/>
    <n v="0.91300000000000003"/>
    <n v="0.65900000000000003"/>
    <n v="0.38300000000000001"/>
    <n v="0.28499999999999998"/>
    <m/>
    <x v="3"/>
  </r>
  <r>
    <x v="9"/>
    <x v="10"/>
    <n v="10"/>
    <n v="7.2720000000000002"/>
    <m/>
    <m/>
    <m/>
    <n v="1.34"/>
    <m/>
    <n v="1.573"/>
    <n v="0.91"/>
    <n v="0.64700000000000002"/>
    <n v="0.30199999999999999"/>
    <n v="0.36099999999999999"/>
    <m/>
    <x v="3"/>
  </r>
  <r>
    <x v="20"/>
    <x v="10"/>
    <n v="11"/>
    <n v="7.19"/>
    <m/>
    <m/>
    <m/>
    <n v="1.244"/>
    <m/>
    <n v="1.4330000000000001"/>
    <n v="0.88800000000000001"/>
    <n v="0.46400000000000002"/>
    <n v="8.2000000000000003E-2"/>
    <n v="0.26200000000000001"/>
    <m/>
    <x v="3"/>
  </r>
  <r>
    <x v="12"/>
    <x v="10"/>
    <n v="12"/>
    <n v="7.1390000000000002"/>
    <m/>
    <m/>
    <m/>
    <n v="1.341"/>
    <m/>
    <n v="1.504"/>
    <n v="0.89100000000000001"/>
    <n v="0.61699999999999999"/>
    <n v="0.224"/>
    <n v="0.24199999999999999"/>
    <m/>
    <x v="3"/>
  </r>
  <r>
    <x v="11"/>
    <x v="10"/>
    <n v="13"/>
    <n v="7.0720000000000001"/>
    <m/>
    <m/>
    <m/>
    <n v="1.01"/>
    <m/>
    <n v="1.4590000000000001"/>
    <n v="0.81699999999999995"/>
    <n v="0.63200000000000001"/>
    <n v="0.10100000000000001"/>
    <n v="0.14299999999999999"/>
    <m/>
    <x v="3"/>
  </r>
  <r>
    <x v="17"/>
    <x v="10"/>
    <n v="14"/>
    <n v="6.9770000000000003"/>
    <m/>
    <m/>
    <m/>
    <n v="1.448"/>
    <m/>
    <n v="1.583"/>
    <n v="0.876"/>
    <n v="0.61399999999999999"/>
    <n v="0.30599999999999999"/>
    <n v="0.307"/>
    <m/>
    <x v="3"/>
  </r>
  <r>
    <x v="25"/>
    <x v="10"/>
    <n v="15"/>
    <n v="6.9649999999999999"/>
    <m/>
    <m/>
    <m/>
    <n v="1.34"/>
    <m/>
    <n v="1.474"/>
    <n v="0.86099999999999999"/>
    <n v="0.58599999999999997"/>
    <n v="0.28000000000000003"/>
    <n v="0.27300000000000002"/>
    <m/>
    <x v="3"/>
  </r>
  <r>
    <x v="18"/>
    <x v="10"/>
    <n v="16"/>
    <n v="6.9269999999999996"/>
    <m/>
    <m/>
    <m/>
    <n v="1.3240000000000001"/>
    <m/>
    <n v="1.4830000000000001"/>
    <n v="0.89400000000000002"/>
    <n v="0.58299999999999996"/>
    <n v="0.24"/>
    <n v="0.188"/>
    <m/>
    <x v="3"/>
  </r>
  <r>
    <x v="16"/>
    <x v="10"/>
    <n v="17"/>
    <n v="6.91"/>
    <m/>
    <m/>
    <m/>
    <n v="1.5760000000000001"/>
    <m/>
    <n v="1.52"/>
    <n v="0.89600000000000002"/>
    <n v="0.63200000000000001"/>
    <n v="0.32100000000000001"/>
    <n v="0.19600000000000001"/>
    <m/>
    <x v="3"/>
  </r>
  <r>
    <x v="14"/>
    <x v="10"/>
    <n v="18"/>
    <n v="6.8860000000000001"/>
    <m/>
    <m/>
    <m/>
    <n v="1.3979999999999999"/>
    <m/>
    <n v="1.4710000000000001"/>
    <n v="0.81899999999999995"/>
    <n v="0.54700000000000004"/>
    <n v="0.13300000000000001"/>
    <n v="0.29099999999999998"/>
    <m/>
    <x v="3"/>
  </r>
  <r>
    <x v="10"/>
    <x v="10"/>
    <n v="19"/>
    <n v="6.8140000000000001"/>
    <m/>
    <m/>
    <m/>
    <n v="1.3009999999999999"/>
    <m/>
    <n v="1.5589999999999999"/>
    <n v="0.88300000000000001"/>
    <n v="0.53300000000000003"/>
    <n v="0.27200000000000002"/>
    <n v="0.35399999999999998"/>
    <m/>
    <x v="3"/>
  </r>
  <r>
    <x v="19"/>
    <x v="10"/>
    <n v="20"/>
    <n v="6.774"/>
    <m/>
    <m/>
    <m/>
    <n v="2.0960000000000001"/>
    <m/>
    <n v="0.77600000000000002"/>
    <n v="0.67"/>
    <n v="0.28399999999999997"/>
    <s v="N/A"/>
    <n v="0.186"/>
    <m/>
    <x v="3"/>
  </r>
  <r>
    <x v="30"/>
    <x v="10"/>
    <n v="21"/>
    <n v="6.7110000000000003"/>
    <m/>
    <m/>
    <m/>
    <n v="1.2330000000000001"/>
    <m/>
    <n v="1.4890000000000001"/>
    <n v="0.85399999999999998"/>
    <n v="0.54300000000000004"/>
    <n v="3.4000000000000002E-2"/>
    <n v="6.4000000000000001E-2"/>
    <m/>
    <x v="3"/>
  </r>
  <r>
    <x v="36"/>
    <x v="10"/>
    <n v="22"/>
    <n v="6.6269999999999998"/>
    <m/>
    <m/>
    <m/>
    <n v="1.27"/>
    <m/>
    <n v="1.5249999999999999"/>
    <n v="0.88400000000000001"/>
    <n v="0.64500000000000002"/>
    <n v="0.14199999999999999"/>
    <n v="0.376"/>
    <m/>
    <x v="3"/>
  </r>
  <r>
    <x v="28"/>
    <x v="10"/>
    <n v="23"/>
    <n v="6.4889999999999999"/>
    <m/>
    <m/>
    <m/>
    <n v="1.2929999999999999"/>
    <m/>
    <n v="1.466"/>
    <n v="0.90800000000000003"/>
    <n v="0.52"/>
    <n v="0.17599999999999999"/>
    <n v="9.8000000000000004E-2"/>
    <m/>
    <x v="3"/>
  </r>
  <r>
    <x v="13"/>
    <x v="10"/>
    <n v="24"/>
    <n v="6.4880000000000004"/>
    <m/>
    <m/>
    <m/>
    <n v="1.038"/>
    <m/>
    <n v="1.252"/>
    <n v="0.76100000000000001"/>
    <n v="0.47899999999999998"/>
    <n v="9.5000000000000001E-2"/>
    <n v="6.9000000000000006E-2"/>
    <m/>
    <x v="3"/>
  </r>
  <r>
    <x v="26"/>
    <x v="10"/>
    <n v="25"/>
    <n v="6.476"/>
    <m/>
    <m/>
    <m/>
    <n v="1.131"/>
    <m/>
    <n v="1.331"/>
    <n v="0.80800000000000005"/>
    <n v="0.43099999999999999"/>
    <n v="6.0999999999999999E-2"/>
    <n v="0.19700000000000001"/>
    <m/>
    <x v="3"/>
  </r>
  <r>
    <x v="37"/>
    <x v="10"/>
    <n v="26"/>
    <n v="6.4409999999999998"/>
    <m/>
    <m/>
    <m/>
    <n v="1.365"/>
    <m/>
    <n v="1.4359999999999999"/>
    <n v="0.85699999999999998"/>
    <n v="0.41799999999999998"/>
    <n v="7.8E-2"/>
    <n v="0.151"/>
    <m/>
    <x v="3"/>
  </r>
  <r>
    <x v="24"/>
    <x v="10"/>
    <n v="27"/>
    <n v="6.43"/>
    <m/>
    <m/>
    <m/>
    <n v="1.1120000000000001"/>
    <m/>
    <n v="1.4379999999999999"/>
    <n v="0.75900000000000001"/>
    <n v="0.59699999999999998"/>
    <n v="6.3E-2"/>
    <n v="0.125"/>
    <m/>
    <x v="3"/>
  </r>
  <r>
    <x v="15"/>
    <x v="10"/>
    <n v="28"/>
    <n v="6.4189999999999996"/>
    <m/>
    <m/>
    <m/>
    <n v="0.98599999999999999"/>
    <m/>
    <n v="1.474"/>
    <n v="0.67500000000000004"/>
    <n v="0.49299999999999999"/>
    <n v="8.7999999999999995E-2"/>
    <n v="0.11"/>
    <m/>
    <x v="3"/>
  </r>
  <r>
    <x v="29"/>
    <x v="10"/>
    <n v="29"/>
    <n v="6.3879999999999999"/>
    <m/>
    <m/>
    <m/>
    <n v="1.073"/>
    <m/>
    <n v="1.468"/>
    <n v="0.74399999999999999"/>
    <n v="0.56999999999999995"/>
    <n v="5.3999999999999999E-2"/>
    <n v="6.2E-2"/>
    <m/>
    <x v="3"/>
  </r>
  <r>
    <x v="42"/>
    <x v="10"/>
    <n v="30"/>
    <n v="6.3819999999999997"/>
    <m/>
    <m/>
    <m/>
    <n v="0.78100000000000003"/>
    <m/>
    <n v="1.268"/>
    <n v="0.60799999999999998"/>
    <n v="0.60399999999999998"/>
    <n v="7.0999999999999994E-2"/>
    <n v="0.17899999999999999"/>
    <m/>
    <x v="3"/>
  </r>
  <r>
    <x v="31"/>
    <x v="10"/>
    <n v="31"/>
    <n v="6.3789999999999996"/>
    <m/>
    <m/>
    <m/>
    <n v="1.093"/>
    <m/>
    <n v="1.4590000000000001"/>
    <n v="0.77100000000000002"/>
    <n v="0.625"/>
    <n v="0.155"/>
    <n v="0.13"/>
    <m/>
    <x v="3"/>
  </r>
  <r>
    <x v="27"/>
    <x v="10"/>
    <n v="32"/>
    <n v="6.3739999999999997"/>
    <m/>
    <m/>
    <m/>
    <n v="1.649"/>
    <m/>
    <n v="1.3029999999999999"/>
    <n v="0.748"/>
    <n v="0.65400000000000003"/>
    <n v="0.17100000000000001"/>
    <n v="0.25600000000000001"/>
    <m/>
    <x v="3"/>
  </r>
  <r>
    <x v="34"/>
    <x v="10"/>
    <n v="33"/>
    <n v="6.3710000000000004"/>
    <m/>
    <m/>
    <m/>
    <n v="1.379"/>
    <m/>
    <n v="1.331"/>
    <n v="0.63300000000000001"/>
    <n v="0.50900000000000001"/>
    <n v="0.127"/>
    <n v="9.8000000000000004E-2"/>
    <m/>
    <x v="3"/>
  </r>
  <r>
    <x v="23"/>
    <x v="10"/>
    <n v="34"/>
    <n v="6.343"/>
    <m/>
    <m/>
    <m/>
    <n v="1.5289999999999999"/>
    <m/>
    <n v="1.4510000000000001"/>
    <n v="1.008"/>
    <n v="0.63100000000000001"/>
    <n v="0.45700000000000002"/>
    <n v="0.26100000000000001"/>
    <m/>
    <x v="3"/>
  </r>
  <r>
    <x v="60"/>
    <x v="10"/>
    <n v="35"/>
    <n v="6.3220000000000001"/>
    <m/>
    <m/>
    <m/>
    <n v="1.161"/>
    <m/>
    <n v="1.258"/>
    <n v="0.66900000000000004"/>
    <n v="0.35599999999999998"/>
    <n v="5.8999999999999997E-2"/>
    <n v="0.311"/>
    <m/>
    <x v="3"/>
  </r>
  <r>
    <x v="35"/>
    <x v="10"/>
    <n v="36"/>
    <n v="6.31"/>
    <m/>
    <m/>
    <m/>
    <n v="1.2509999999999999"/>
    <m/>
    <n v="1.538"/>
    <n v="0.96499999999999997"/>
    <n v="0.44900000000000001"/>
    <n v="7.3999999999999996E-2"/>
    <n v="0.14199999999999999"/>
    <m/>
    <x v="3"/>
  </r>
  <r>
    <x v="32"/>
    <x v="10"/>
    <n v="37"/>
    <n v="6.26"/>
    <m/>
    <m/>
    <m/>
    <n v="0.96"/>
    <m/>
    <n v="1.4390000000000001"/>
    <n v="0.63500000000000001"/>
    <n v="0.53100000000000003"/>
    <n v="3.9E-2"/>
    <n v="9.9000000000000005E-2"/>
    <m/>
    <x v="3"/>
  </r>
  <r>
    <x v="165"/>
    <x v="10"/>
    <n v="38"/>
    <n v="6.1920000000000002"/>
    <m/>
    <m/>
    <m/>
    <n v="1.2230000000000001"/>
    <m/>
    <n v="1.492"/>
    <n v="0.56399999999999995"/>
    <n v="0.57499999999999996"/>
    <n v="1.9E-2"/>
    <n v="0.17100000000000001"/>
    <m/>
    <x v="3"/>
  </r>
  <r>
    <x v="44"/>
    <x v="10"/>
    <n v="39"/>
    <n v="6.173"/>
    <m/>
    <m/>
    <m/>
    <n v="1.21"/>
    <m/>
    <n v="1.5369999999999999"/>
    <n v="0.77600000000000002"/>
    <n v="0.35399999999999998"/>
    <n v="1.4E-2"/>
    <n v="0.11799999999999999"/>
    <m/>
    <x v="3"/>
  </r>
  <r>
    <x v="41"/>
    <x v="10"/>
    <n v="40"/>
    <n v="6.1669999999999998"/>
    <m/>
    <m/>
    <m/>
    <n v="0.80600000000000005"/>
    <m/>
    <n v="1.2310000000000001"/>
    <n v="0.63900000000000001"/>
    <n v="0.46100000000000002"/>
    <n v="8.2000000000000003E-2"/>
    <n v="6.5000000000000002E-2"/>
    <m/>
    <x v="3"/>
  </r>
  <r>
    <x v="56"/>
    <x v="10"/>
    <n v="41"/>
    <n v="6.141"/>
    <m/>
    <m/>
    <m/>
    <n v="0.66800000000000004"/>
    <m/>
    <n v="1.319"/>
    <n v="0.7"/>
    <n v="0.52700000000000002"/>
    <n v="0.128"/>
    <n v="0.20799999999999999"/>
    <m/>
    <x v="3"/>
  </r>
  <r>
    <x v="59"/>
    <x v="10"/>
    <n v="42"/>
    <n v="6.1230000000000002"/>
    <m/>
    <m/>
    <m/>
    <n v="1.1759999999999999"/>
    <m/>
    <n v="1.448"/>
    <n v="0.78100000000000003"/>
    <n v="0.54600000000000004"/>
    <n v="6.4000000000000001E-2"/>
    <n v="0.108"/>
    <m/>
    <x v="3"/>
  </r>
  <r>
    <x v="48"/>
    <x v="10"/>
    <n v="43"/>
    <n v="6.1050000000000004"/>
    <m/>
    <m/>
    <m/>
    <n v="1.3380000000000001"/>
    <m/>
    <n v="1.3660000000000001"/>
    <n v="0.69799999999999995"/>
    <n v="0.59399999999999997"/>
    <n v="0.123"/>
    <n v="0.24299999999999999"/>
    <m/>
    <x v="3"/>
  </r>
  <r>
    <x v="43"/>
    <x v="10"/>
    <n v="44"/>
    <n v="6.0960000000000001"/>
    <m/>
    <m/>
    <m/>
    <n v="0.71899999999999997"/>
    <m/>
    <n v="1.5840000000000001"/>
    <n v="0.60499999999999998"/>
    <n v="0.72399999999999998"/>
    <n v="0.25900000000000001"/>
    <n v="0.32800000000000001"/>
    <m/>
    <x v="3"/>
  </r>
  <r>
    <x v="38"/>
    <x v="10"/>
    <n v="45"/>
    <n v="6.0830000000000002"/>
    <m/>
    <m/>
    <m/>
    <n v="1.474"/>
    <m/>
    <n v="1.3009999999999999"/>
    <n v="0.67500000000000004"/>
    <n v="0.55400000000000005"/>
    <n v="0.106"/>
    <n v="0.16700000000000001"/>
    <m/>
    <x v="3"/>
  </r>
  <r>
    <x v="33"/>
    <x v="10"/>
    <n v="46"/>
    <n v="6.0720000000000001"/>
    <m/>
    <m/>
    <m/>
    <n v="1.016"/>
    <m/>
    <n v="1.417"/>
    <n v="0.70699999999999996"/>
    <n v="0.63700000000000001"/>
    <n v="2.9000000000000001E-2"/>
    <n v="0.36399999999999999"/>
    <m/>
    <x v="3"/>
  </r>
  <r>
    <x v="49"/>
    <x v="10"/>
    <n v="47"/>
    <n v="6"/>
    <m/>
    <m/>
    <m/>
    <n v="1.264"/>
    <m/>
    <n v="1.5009999999999999"/>
    <n v="0.94599999999999995"/>
    <n v="0.28100000000000003"/>
    <n v="2.8000000000000001E-2"/>
    <n v="0.13700000000000001"/>
    <m/>
    <x v="3"/>
  </r>
  <r>
    <x v="47"/>
    <x v="10"/>
    <n v="48"/>
    <n v="5.9729999999999999"/>
    <m/>
    <m/>
    <m/>
    <n v="0.88900000000000001"/>
    <m/>
    <n v="1.33"/>
    <n v="0.73599999999999999"/>
    <n v="0.55600000000000005"/>
    <n v="0.12"/>
    <n v="0.114"/>
    <m/>
    <x v="3"/>
  </r>
  <r>
    <x v="159"/>
    <x v="10"/>
    <n v="49"/>
    <n v="5.9560000000000004"/>
    <m/>
    <m/>
    <m/>
    <n v="0.80700000000000005"/>
    <m/>
    <n v="1.101"/>
    <n v="0.47399999999999998"/>
    <n v="0.59299999999999997"/>
    <n v="8.8999999999999996E-2"/>
    <n v="0.183"/>
    <m/>
    <x v="3"/>
  </r>
  <r>
    <x v="55"/>
    <x v="10"/>
    <n v="50"/>
    <n v="5.952"/>
    <m/>
    <m/>
    <m/>
    <n v="1.1970000000000001"/>
    <m/>
    <n v="1.5269999999999999"/>
    <n v="0.71599999999999997"/>
    <n v="0.35"/>
    <n v="6.0000000000000001E-3"/>
    <n v="2.5999999999999999E-2"/>
    <m/>
    <x v="3"/>
  </r>
  <r>
    <x v="54"/>
    <x v="10"/>
    <n v="51"/>
    <n v="5.9480000000000004"/>
    <m/>
    <m/>
    <m/>
    <n v="1.2190000000000001"/>
    <m/>
    <n v="1.506"/>
    <n v="0.85599999999999998"/>
    <n v="0.63300000000000001"/>
    <n v="5.0999999999999997E-2"/>
    <n v="0.16"/>
    <m/>
    <x v="3"/>
  </r>
  <r>
    <x v="85"/>
    <x v="10"/>
    <n v="52"/>
    <n v="5.9450000000000003"/>
    <m/>
    <m/>
    <m/>
    <n v="1.1160000000000001"/>
    <m/>
    <n v="1.2190000000000001"/>
    <n v="0.72599999999999998"/>
    <n v="0.52800000000000002"/>
    <n v="1E-3"/>
    <n v="8.7999999999999995E-2"/>
    <m/>
    <x v="3"/>
  </r>
  <r>
    <x v="88"/>
    <x v="10"/>
    <n v="53"/>
    <n v="5.9329999999999998"/>
    <m/>
    <m/>
    <m/>
    <n v="1.1479999999999999"/>
    <m/>
    <n v="1.454"/>
    <n v="0.67100000000000004"/>
    <n v="0.36299999999999999"/>
    <n v="6.6000000000000003E-2"/>
    <n v="9.1999999999999998E-2"/>
    <m/>
    <x v="3"/>
  </r>
  <r>
    <x v="45"/>
    <x v="10"/>
    <n v="54"/>
    <n v="5.915"/>
    <m/>
    <m/>
    <m/>
    <n v="1.294"/>
    <m/>
    <n v="1.462"/>
    <n v="0.98799999999999999"/>
    <n v="0.55300000000000005"/>
    <n v="0.15"/>
    <n v="7.9000000000000001E-2"/>
    <m/>
    <x v="3"/>
  </r>
  <r>
    <x v="70"/>
    <x v="10"/>
    <n v="55"/>
    <n v="5.891"/>
    <m/>
    <m/>
    <m/>
    <n v="1.0900000000000001"/>
    <m/>
    <n v="1.387"/>
    <n v="0.68400000000000005"/>
    <n v="0.58399999999999996"/>
    <n v="0.05"/>
    <n v="0.245"/>
    <m/>
    <x v="3"/>
  </r>
  <r>
    <x v="64"/>
    <x v="10"/>
    <n v="56"/>
    <n v="5.89"/>
    <m/>
    <m/>
    <m/>
    <n v="0.81899999999999995"/>
    <m/>
    <n v="1.4930000000000001"/>
    <n v="0.69299999999999995"/>
    <n v="0.57499999999999996"/>
    <n v="3.1E-2"/>
    <n v="9.6000000000000002E-2"/>
    <m/>
    <x v="3"/>
  </r>
  <r>
    <x v="46"/>
    <x v="10"/>
    <n v="57"/>
    <n v="5.875"/>
    <m/>
    <m/>
    <m/>
    <n v="1.266"/>
    <m/>
    <n v="1.204"/>
    <n v="0.95499999999999996"/>
    <n v="0.24399999999999999"/>
    <n v="5.0999999999999997E-2"/>
    <n v="0.17499999999999999"/>
    <m/>
    <x v="3"/>
  </r>
  <r>
    <x v="166"/>
    <x v="10"/>
    <n v="58"/>
    <n v="5.835"/>
    <m/>
    <m/>
    <m/>
    <n v="1.2290000000000001"/>
    <m/>
    <n v="1.2110000000000001"/>
    <n v="0.90900000000000003"/>
    <n v="0.495"/>
    <n v="0.154"/>
    <n v="0.17899999999999999"/>
    <m/>
    <x v="3"/>
  </r>
  <r>
    <x v="63"/>
    <x v="10"/>
    <n v="59"/>
    <n v="5.81"/>
    <m/>
    <m/>
    <m/>
    <n v="1.151"/>
    <m/>
    <n v="1.4790000000000001"/>
    <n v="0.59899999999999998"/>
    <n v="0.39900000000000002"/>
    <n v="2.5000000000000001E-2"/>
    <n v="6.5000000000000002E-2"/>
    <m/>
    <x v="3"/>
  </r>
  <r>
    <x v="53"/>
    <x v="10"/>
    <n v="60"/>
    <n v="5.79"/>
    <m/>
    <m/>
    <m/>
    <n v="1.143"/>
    <m/>
    <n v="1.516"/>
    <n v="0.63100000000000001"/>
    <n v="0.45400000000000001"/>
    <n v="0.121"/>
    <n v="0.14799999999999999"/>
    <m/>
    <x v="3"/>
  </r>
  <r>
    <x v="66"/>
    <x v="10"/>
    <n v="61"/>
    <n v="5.7619999999999996"/>
    <m/>
    <m/>
    <m/>
    <n v="1.2290000000000001"/>
    <m/>
    <n v="1.1910000000000001"/>
    <n v="0.90900000000000003"/>
    <n v="0.42299999999999999"/>
    <n v="3.5000000000000003E-2"/>
    <n v="0.20200000000000001"/>
    <m/>
    <x v="3"/>
  </r>
  <r>
    <x v="50"/>
    <x v="10"/>
    <n v="62"/>
    <n v="5.7519999999999998"/>
    <m/>
    <m/>
    <m/>
    <n v="0.751"/>
    <m/>
    <n v="1.2230000000000001"/>
    <n v="0.50800000000000001"/>
    <n v="0.60599999999999998"/>
    <n v="5.3999999999999999E-2"/>
    <n v="0.14099999999999999"/>
    <m/>
    <x v="3"/>
  </r>
  <r>
    <x v="72"/>
    <x v="10"/>
    <n v="63"/>
    <n v="5.7389999999999999"/>
    <m/>
    <m/>
    <m/>
    <n v="1.2"/>
    <m/>
    <n v="1.532"/>
    <n v="0.73699999999999999"/>
    <n v="0.55300000000000005"/>
    <n v="0.17399999999999999"/>
    <n v="8.5999999999999993E-2"/>
    <m/>
    <x v="3"/>
  </r>
  <r>
    <x v="52"/>
    <x v="10"/>
    <n v="64"/>
    <n v="5.681"/>
    <m/>
    <m/>
    <m/>
    <n v="0.83499999999999996"/>
    <m/>
    <n v="1.522"/>
    <n v="0.61499999999999999"/>
    <n v="0.54100000000000004"/>
    <n v="7.3999999999999996E-2"/>
    <n v="0.16200000000000001"/>
    <m/>
    <x v="3"/>
  </r>
  <r>
    <x v="57"/>
    <x v="10"/>
    <n v="65"/>
    <n v="5.6630000000000003"/>
    <m/>
    <m/>
    <m/>
    <n v="0.93400000000000005"/>
    <m/>
    <n v="1.2490000000000001"/>
    <n v="0.67400000000000004"/>
    <n v="0.53"/>
    <n v="3.4000000000000002E-2"/>
    <n v="9.1999999999999998E-2"/>
    <m/>
    <x v="3"/>
  </r>
  <r>
    <x v="68"/>
    <x v="10"/>
    <n v="66"/>
    <n v="5.6619999999999999"/>
    <m/>
    <m/>
    <m/>
    <n v="0.85499999999999998"/>
    <m/>
    <n v="1.23"/>
    <n v="0.57799999999999996"/>
    <n v="0.44800000000000001"/>
    <n v="2.3E-2"/>
    <n v="0.27400000000000002"/>
    <m/>
    <x v="3"/>
  </r>
  <r>
    <x v="51"/>
    <x v="10"/>
    <n v="67"/>
    <n v="5.64"/>
    <m/>
    <m/>
    <m/>
    <n v="0.65700000000000003"/>
    <m/>
    <n v="1.3009999999999999"/>
    <n v="0.62"/>
    <n v="0.23200000000000001"/>
    <n v="0"/>
    <n v="0.17100000000000001"/>
    <m/>
    <x v="3"/>
  </r>
  <r>
    <x v="69"/>
    <x v="10"/>
    <n v="68"/>
    <n v="5.6360000000000001"/>
    <m/>
    <m/>
    <m/>
    <n v="1.016"/>
    <m/>
    <n v="1.5329999999999999"/>
    <n v="0.51700000000000002"/>
    <n v="0.41699999999999998"/>
    <n v="3.6999999999999998E-2"/>
    <n v="0.19900000000000001"/>
    <m/>
    <x v="3"/>
  </r>
  <r>
    <x v="103"/>
    <x v="10"/>
    <n v="69"/>
    <n v="5.62"/>
    <m/>
    <m/>
    <m/>
    <n v="1.171"/>
    <m/>
    <n v="1.401"/>
    <n v="0.73199999999999998"/>
    <n v="0.25900000000000001"/>
    <n v="2.1999999999999999E-2"/>
    <n v="6.0999999999999999E-2"/>
    <m/>
    <x v="3"/>
  </r>
  <r>
    <x v="62"/>
    <x v="10"/>
    <n v="70"/>
    <n v="5.5659999999999998"/>
    <m/>
    <m/>
    <m/>
    <n v="0.98499999999999999"/>
    <m/>
    <n v="1.35"/>
    <n v="0.55300000000000005"/>
    <n v="0.496"/>
    <n v="0.14799999999999999"/>
    <n v="0.11600000000000001"/>
    <m/>
    <x v="3"/>
  </r>
  <r>
    <x v="89"/>
    <x v="10"/>
    <n v="71"/>
    <n v="5.524"/>
    <m/>
    <m/>
    <m/>
    <n v="0.77500000000000002"/>
    <m/>
    <n v="1.3120000000000001"/>
    <n v="0.51300000000000001"/>
    <n v="0.64300000000000002"/>
    <n v="0.105"/>
    <n v="0.12"/>
    <m/>
    <x v="3"/>
  </r>
  <r>
    <x v="104"/>
    <x v="10"/>
    <n v="72"/>
    <n v="5.5039999999999996"/>
    <m/>
    <m/>
    <m/>
    <n v="0.62"/>
    <m/>
    <n v="1.2050000000000001"/>
    <n v="0.622"/>
    <n v="0.45900000000000002"/>
    <n v="7.3999999999999996E-2"/>
    <n v="0.19700000000000001"/>
    <m/>
    <x v="3"/>
  </r>
  <r>
    <x v="58"/>
    <x v="10"/>
    <n v="73"/>
    <n v="5.4829999999999997"/>
    <m/>
    <m/>
    <m/>
    <n v="1.0389999999999999"/>
    <m/>
    <n v="1.498"/>
    <n v="0.7"/>
    <n v="0.307"/>
    <n v="0.154"/>
    <n v="0.10100000000000001"/>
    <m/>
    <x v="3"/>
  </r>
  <r>
    <x v="75"/>
    <x v="10"/>
    <n v="74"/>
    <n v="5.4829999999999997"/>
    <m/>
    <m/>
    <m/>
    <n v="1.1479999999999999"/>
    <m/>
    <n v="1.38"/>
    <n v="0.68600000000000005"/>
    <n v="0.32400000000000001"/>
    <n v="0.109"/>
    <n v="0.106"/>
    <m/>
    <x v="3"/>
  </r>
  <r>
    <x v="80"/>
    <x v="10"/>
    <n v="75"/>
    <n v="5.4720000000000004"/>
    <m/>
    <m/>
    <m/>
    <n v="0.65200000000000002"/>
    <m/>
    <n v="0.81"/>
    <n v="0.42399999999999999"/>
    <n v="0.33400000000000002"/>
    <n v="0.113"/>
    <n v="0.216"/>
    <m/>
    <x v="3"/>
  </r>
  <r>
    <x v="71"/>
    <x v="10"/>
    <n v="76"/>
    <n v="5.43"/>
    <m/>
    <m/>
    <m/>
    <n v="1.405"/>
    <m/>
    <n v="1.29"/>
    <n v="1.03"/>
    <n v="0.52400000000000002"/>
    <n v="0.29099999999999998"/>
    <n v="0.246"/>
    <m/>
    <x v="3"/>
  </r>
  <r>
    <x v="87"/>
    <x v="10"/>
    <n v="77"/>
    <n v="5.41"/>
    <m/>
    <m/>
    <m/>
    <n v="1.1879999999999999"/>
    <m/>
    <n v="1.429"/>
    <n v="0.88400000000000001"/>
    <n v="0.56200000000000006"/>
    <n v="1.7000000000000001E-2"/>
    <n v="5.5E-2"/>
    <m/>
    <x v="3"/>
  </r>
  <r>
    <x v="86"/>
    <x v="10"/>
    <n v="78"/>
    <n v="5.3979999999999997"/>
    <m/>
    <m/>
    <m/>
    <n v="0.97499999999999998"/>
    <m/>
    <n v="1.369"/>
    <n v="0.68500000000000005"/>
    <n v="0.28799999999999998"/>
    <n v="4.2999999999999997E-2"/>
    <n v="0.13400000000000001"/>
    <m/>
    <x v="3"/>
  </r>
  <r>
    <x v="101"/>
    <x v="10"/>
    <n v="79"/>
    <n v="5.3579999999999997"/>
    <m/>
    <m/>
    <m/>
    <n v="1.1539999999999999"/>
    <m/>
    <n v="1.202"/>
    <n v="0.879"/>
    <n v="0.13100000000000001"/>
    <n v="4.3999999999999997E-2"/>
    <n v="0"/>
    <m/>
    <x v="3"/>
  </r>
  <r>
    <x v="102"/>
    <x v="10"/>
    <n v="80"/>
    <n v="5.3579999999999997"/>
    <m/>
    <m/>
    <m/>
    <n v="0.96499999999999997"/>
    <m/>
    <n v="1.179"/>
    <n v="0.78500000000000003"/>
    <n v="0.503"/>
    <n v="0.13600000000000001"/>
    <n v="0.214"/>
    <m/>
    <x v="3"/>
  </r>
  <r>
    <x v="82"/>
    <x v="10"/>
    <n v="81"/>
    <n v="5.3470000000000004"/>
    <m/>
    <m/>
    <m/>
    <n v="1.0169999999999999"/>
    <m/>
    <n v="1.2789999999999999"/>
    <n v="0.72899999999999998"/>
    <n v="0.25900000000000001"/>
    <n v="8.1000000000000003E-2"/>
    <n v="0.111"/>
    <m/>
    <x v="3"/>
  </r>
  <r>
    <x v="61"/>
    <x v="10"/>
    <n v="82"/>
    <n v="5.3209999999999997"/>
    <m/>
    <m/>
    <m/>
    <n v="1.115"/>
    <m/>
    <n v="1.161"/>
    <n v="0.73699999999999999"/>
    <n v="0.38"/>
    <n v="3.9E-2"/>
    <n v="0.12"/>
    <m/>
    <x v="3"/>
  </r>
  <r>
    <x v="97"/>
    <x v="10"/>
    <n v="83"/>
    <n v="5.3019999999999996"/>
    <m/>
    <m/>
    <m/>
    <n v="0.98199999999999998"/>
    <m/>
    <n v="1.4410000000000001"/>
    <n v="0.61399999999999999"/>
    <n v="0.57799999999999996"/>
    <n v="0.106"/>
    <n v="0.12"/>
    <m/>
    <x v="3"/>
  </r>
  <r>
    <x v="67"/>
    <x v="10"/>
    <n v="84"/>
    <n v="5.2949999999999999"/>
    <m/>
    <m/>
    <m/>
    <n v="0.97899999999999998"/>
    <m/>
    <n v="1.1539999999999999"/>
    <n v="0.68700000000000006"/>
    <n v="7.6999999999999999E-2"/>
    <n v="0.13500000000000001"/>
    <n v="5.5E-2"/>
    <m/>
    <x v="3"/>
  </r>
  <r>
    <x v="91"/>
    <x v="10"/>
    <n v="85"/>
    <n v="5.2539999999999996"/>
    <m/>
    <m/>
    <m/>
    <n v="0.77900000000000003"/>
    <m/>
    <n v="0.79700000000000004"/>
    <n v="0.66900000000000004"/>
    <n v="0.46"/>
    <n v="7.3999999999999996E-2"/>
    <n v="2.5999999999999999E-2"/>
    <m/>
    <x v="3"/>
  </r>
  <r>
    <x v="83"/>
    <x v="10"/>
    <n v="86"/>
    <n v="5.2460000000000004"/>
    <m/>
    <m/>
    <m/>
    <n v="0.98899999999999999"/>
    <m/>
    <n v="1.1419999999999999"/>
    <n v="0.79900000000000004"/>
    <n v="0.59699999999999998"/>
    <n v="0.10299999999999999"/>
    <n v="2.9000000000000001E-2"/>
    <m/>
    <x v="3"/>
  </r>
  <r>
    <x v="79"/>
    <x v="10"/>
    <n v="87"/>
    <n v="5.2009999999999996"/>
    <m/>
    <m/>
    <m/>
    <n v="1.024"/>
    <m/>
    <n v="1.161"/>
    <n v="0.60299999999999998"/>
    <n v="0.43"/>
    <n v="0.17599999999999999"/>
    <n v="3.1E-2"/>
    <m/>
    <x v="3"/>
  </r>
  <r>
    <x v="105"/>
    <x v="10"/>
    <n v="88"/>
    <n v="5.1989999999999998"/>
    <m/>
    <m/>
    <m/>
    <n v="0.47399999999999998"/>
    <m/>
    <n v="1.1659999999999999"/>
    <n v="0.59799999999999998"/>
    <n v="0.29199999999999998"/>
    <n v="3.4000000000000002E-2"/>
    <n v="0.187"/>
    <m/>
    <x v="3"/>
  </r>
  <r>
    <x v="92"/>
    <x v="10"/>
    <n v="89"/>
    <n v="5.1849999999999996"/>
    <m/>
    <m/>
    <m/>
    <n v="0.95899999999999996"/>
    <m/>
    <n v="1.2390000000000001"/>
    <n v="0.69099999999999995"/>
    <n v="0.39400000000000002"/>
    <n v="5.1999999999999998E-2"/>
    <n v="0.17299999999999999"/>
    <m/>
    <x v="3"/>
  </r>
  <r>
    <x v="81"/>
    <x v="10"/>
    <n v="90"/>
    <n v="5.1609999999999996"/>
    <m/>
    <m/>
    <m/>
    <n v="0.82199999999999995"/>
    <m/>
    <n v="1.2649999999999999"/>
    <n v="0.64500000000000002"/>
    <n v="0.46800000000000003"/>
    <n v="0.13400000000000001"/>
    <n v="0.13"/>
    <m/>
    <x v="3"/>
  </r>
  <r>
    <x v="77"/>
    <x v="10"/>
    <n v="91"/>
    <n v="5.1550000000000002"/>
    <m/>
    <m/>
    <m/>
    <n v="0.68899999999999995"/>
    <m/>
    <n v="1.1719999999999999"/>
    <n v="4.8000000000000001E-2"/>
    <n v="0.46200000000000002"/>
    <n v="3.2000000000000001E-2"/>
    <n v="0.20100000000000001"/>
    <m/>
    <x v="3"/>
  </r>
  <r>
    <x v="76"/>
    <x v="10"/>
    <n v="92"/>
    <n v="5.1310000000000002"/>
    <m/>
    <m/>
    <m/>
    <n v="0.53"/>
    <m/>
    <n v="1.4159999999999999"/>
    <n v="0.59399999999999997"/>
    <n v="0.54"/>
    <n v="3.5000000000000003E-2"/>
    <n v="0.28100000000000003"/>
    <m/>
    <x v="3"/>
  </r>
  <r>
    <x v="95"/>
    <x v="10"/>
    <n v="93"/>
    <n v="5.1289999999999996"/>
    <m/>
    <m/>
    <m/>
    <n v="0.91500000000000004"/>
    <m/>
    <n v="1.0780000000000001"/>
    <n v="0.75800000000000001"/>
    <n v="0.28000000000000003"/>
    <n v="0"/>
    <n v="0.216"/>
    <m/>
    <x v="3"/>
  </r>
  <r>
    <x v="99"/>
    <x v="10"/>
    <n v="94"/>
    <n v="5.125"/>
    <m/>
    <m/>
    <m/>
    <n v="0.91400000000000003"/>
    <m/>
    <n v="1.5169999999999999"/>
    <n v="0.57499999999999996"/>
    <n v="0.39500000000000002"/>
    <n v="3.2000000000000001E-2"/>
    <n v="0.253"/>
    <m/>
    <x v="3"/>
  </r>
  <r>
    <x v="74"/>
    <x v="10"/>
    <n v="95"/>
    <n v="5.1029999999999998"/>
    <m/>
    <m/>
    <m/>
    <n v="0.71499999999999997"/>
    <m/>
    <n v="1.365"/>
    <n v="0.70199999999999996"/>
    <n v="0.61799999999999999"/>
    <n v="7.9000000000000001E-2"/>
    <n v="0.17699999999999999"/>
    <m/>
    <x v="3"/>
  </r>
  <r>
    <x v="73"/>
    <x v="10"/>
    <n v="96"/>
    <n v="5.093"/>
    <m/>
    <m/>
    <m/>
    <n v="0.89900000000000002"/>
    <m/>
    <n v="1.2150000000000001"/>
    <n v="0.52200000000000002"/>
    <n v="0.53800000000000003"/>
    <n v="1.7999999999999999E-2"/>
    <n v="0.48399999999999999"/>
    <m/>
    <x v="3"/>
  </r>
  <r>
    <x v="78"/>
    <x v="10"/>
    <n v="97"/>
    <n v="5.0819999999999999"/>
    <m/>
    <m/>
    <m/>
    <n v="0.79600000000000004"/>
    <m/>
    <n v="1.335"/>
    <n v="0.52700000000000002"/>
    <n v="0.54100000000000004"/>
    <n v="0.17100000000000001"/>
    <n v="0.36399999999999999"/>
    <m/>
    <x v="3"/>
  </r>
  <r>
    <x v="160"/>
    <x v="10"/>
    <n v="98"/>
    <n v="4.9820000000000002"/>
    <m/>
    <m/>
    <m/>
    <n v="0"/>
    <m/>
    <n v="0.71199999999999997"/>
    <n v="0.115"/>
    <n v="0.67400000000000004"/>
    <n v="0.28199999999999997"/>
    <n v="0.23799999999999999"/>
    <m/>
    <x v="3"/>
  </r>
  <r>
    <x v="132"/>
    <x v="10"/>
    <n v="99"/>
    <n v="4.9749999999999996"/>
    <m/>
    <m/>
    <m/>
    <n v="0.53500000000000003"/>
    <m/>
    <n v="0.89100000000000001"/>
    <n v="0.182"/>
    <n v="0.45400000000000001"/>
    <n v="4.2999999999999997E-2"/>
    <n v="0.183"/>
    <m/>
    <x v="3"/>
  </r>
  <r>
    <x v="133"/>
    <x v="10"/>
    <n v="100"/>
    <n v="4.9329999999999998"/>
    <m/>
    <m/>
    <m/>
    <n v="1.054"/>
    <m/>
    <n v="1.5149999999999999"/>
    <n v="0.71199999999999997"/>
    <n v="0.35899999999999999"/>
    <n v="8.9999999999999993E-3"/>
    <n v="6.4000000000000001E-2"/>
    <m/>
    <x v="3"/>
  </r>
  <r>
    <x v="120"/>
    <x v="10"/>
    <n v="101"/>
    <n v="4.88"/>
    <m/>
    <m/>
    <m/>
    <n v="0.42499999999999999"/>
    <m/>
    <n v="1.228"/>
    <n v="0.53900000000000003"/>
    <n v="0.52600000000000002"/>
    <n v="7.8E-2"/>
    <n v="0.30199999999999999"/>
    <m/>
    <x v="3"/>
  </r>
  <r>
    <x v="22"/>
    <x v="10"/>
    <n v="102"/>
    <n v="4.806"/>
    <m/>
    <m/>
    <m/>
    <n v="0.996"/>
    <m/>
    <n v="1.4690000000000001"/>
    <n v="0.65700000000000003"/>
    <n v="0.13300000000000001"/>
    <n v="5.1999999999999998E-2"/>
    <n v="5.6000000000000001E-2"/>
    <m/>
    <x v="3"/>
  </r>
  <r>
    <x v="142"/>
    <x v="10"/>
    <n v="103"/>
    <n v="4.758"/>
    <m/>
    <m/>
    <m/>
    <n v="1.036"/>
    <m/>
    <n v="1.1639999999999999"/>
    <n v="0.40400000000000003"/>
    <n v="0.35599999999999998"/>
    <n v="5.1999999999999998E-2"/>
    <n v="3.2000000000000001E-2"/>
    <m/>
    <x v="3"/>
  </r>
  <r>
    <x v="107"/>
    <x v="10"/>
    <n v="104"/>
    <n v="4.7430000000000003"/>
    <m/>
    <m/>
    <m/>
    <n v="0.64200000000000002"/>
    <m/>
    <n v="1.2170000000000001"/>
    <n v="0.60199999999999998"/>
    <n v="0.26600000000000001"/>
    <n v="7.5999999999999998E-2"/>
    <n v="8.5999999999999993E-2"/>
    <m/>
    <x v="3"/>
  </r>
  <r>
    <x v="112"/>
    <x v="10"/>
    <n v="105"/>
    <n v="4.7240000000000002"/>
    <m/>
    <m/>
    <m/>
    <n v="0.94"/>
    <m/>
    <n v="1.41"/>
    <n v="0.33"/>
    <n v="0.51600000000000001"/>
    <n v="5.6000000000000001E-2"/>
    <n v="0.10299999999999999"/>
    <m/>
    <x v="3"/>
  </r>
  <r>
    <x v="109"/>
    <x v="10"/>
    <n v="106"/>
    <n v="4.7069999999999999"/>
    <m/>
    <m/>
    <m/>
    <n v="1.0589999999999999"/>
    <m/>
    <n v="0.77100000000000002"/>
    <n v="0.69099999999999995"/>
    <n v="0.45900000000000002"/>
    <n v="0.129"/>
    <n v="0.28199999999999997"/>
    <m/>
    <x v="3"/>
  </r>
  <r>
    <x v="150"/>
    <x v="10"/>
    <n v="107"/>
    <n v="4.6710000000000003"/>
    <m/>
    <m/>
    <m/>
    <n v="0.54100000000000004"/>
    <m/>
    <n v="0.872"/>
    <n v="0.08"/>
    <n v="0.46700000000000003"/>
    <n v="0.10299999999999999"/>
    <n v="0.14599999999999999"/>
    <m/>
    <x v="3"/>
  </r>
  <r>
    <x v="113"/>
    <x v="10"/>
    <n v="108"/>
    <n v="4.657"/>
    <m/>
    <m/>
    <m/>
    <n v="0.59199999999999997"/>
    <m/>
    <n v="0.89600000000000002"/>
    <n v="0.33700000000000002"/>
    <n v="0.499"/>
    <n v="2.9000000000000001E-2"/>
    <n v="0.21199999999999999"/>
    <m/>
    <x v="3"/>
  </r>
  <r>
    <x v="141"/>
    <x v="10"/>
    <n v="109"/>
    <n v="4.6310000000000002"/>
    <m/>
    <m/>
    <m/>
    <n v="0.42899999999999999"/>
    <m/>
    <n v="1.117"/>
    <n v="0.433"/>
    <n v="0.40600000000000003"/>
    <n v="8.2000000000000003E-2"/>
    <n v="0.13800000000000001"/>
    <m/>
    <x v="3"/>
  </r>
  <r>
    <x v="98"/>
    <x v="10"/>
    <n v="110"/>
    <n v="4.6230000000000002"/>
    <m/>
    <m/>
    <m/>
    <n v="0.72"/>
    <m/>
    <n v="1.034"/>
    <n v="0.441"/>
    <n v="0.626"/>
    <n v="0.17399999999999999"/>
    <n v="0.23"/>
    <m/>
    <x v="3"/>
  </r>
  <r>
    <x v="106"/>
    <x v="10"/>
    <n v="111"/>
    <n v="4.5919999999999996"/>
    <m/>
    <m/>
    <m/>
    <n v="0.9"/>
    <m/>
    <n v="0.90600000000000003"/>
    <n v="0.69"/>
    <n v="0.27100000000000002"/>
    <n v="6.3E-2"/>
    <n v="0.04"/>
    <m/>
    <x v="3"/>
  </r>
  <r>
    <x v="94"/>
    <x v="10"/>
    <n v="112"/>
    <n v="4.5860000000000003"/>
    <m/>
    <m/>
    <m/>
    <n v="0.91600000000000004"/>
    <m/>
    <n v="0.81699999999999995"/>
    <n v="0.79"/>
    <n v="0.41899999999999998"/>
    <n v="3.2000000000000001E-2"/>
    <n v="0.14899999999999999"/>
    <m/>
    <x v="3"/>
  </r>
  <r>
    <x v="122"/>
    <x v="10"/>
    <n v="113"/>
    <n v="4.5709999999999997"/>
    <m/>
    <m/>
    <m/>
    <n v="0.25600000000000001"/>
    <m/>
    <n v="0.81299999999999994"/>
    <n v="0"/>
    <n v="0.35499999999999998"/>
    <n v="5.2999999999999999E-2"/>
    <n v="0.23799999999999999"/>
    <m/>
    <x v="3"/>
  </r>
  <r>
    <x v="138"/>
    <x v="10"/>
    <n v="114"/>
    <n v="4.5590000000000002"/>
    <m/>
    <m/>
    <m/>
    <n v="0.68200000000000005"/>
    <m/>
    <n v="0.81100000000000005"/>
    <n v="0.34300000000000003"/>
    <n v="0.51400000000000001"/>
    <n v="7.6999999999999999E-2"/>
    <n v="9.0999999999999998E-2"/>
    <m/>
    <x v="3"/>
  </r>
  <r>
    <x v="108"/>
    <x v="10"/>
    <n v="115"/>
    <n v="4.5"/>
    <m/>
    <m/>
    <m/>
    <n v="0.53200000000000003"/>
    <m/>
    <n v="0.85"/>
    <n v="0.57899999999999996"/>
    <n v="0.57999999999999996"/>
    <n v="0.14399999999999999"/>
    <n v="0.153"/>
    <m/>
    <x v="3"/>
  </r>
  <r>
    <x v="131"/>
    <x v="10"/>
    <n v="116"/>
    <n v="4.4710000000000001"/>
    <m/>
    <m/>
    <m/>
    <n v="0.91800000000000004"/>
    <m/>
    <n v="1.3140000000000001"/>
    <n v="0.67200000000000004"/>
    <n v="0.58499999999999996"/>
    <n v="0.05"/>
    <n v="0.307"/>
    <m/>
    <x v="3"/>
  </r>
  <r>
    <x v="111"/>
    <x v="10"/>
    <n v="117"/>
    <n v="4.4560000000000004"/>
    <m/>
    <m/>
    <m/>
    <n v="1.01"/>
    <m/>
    <n v="0.97099999999999997"/>
    <n v="0.53600000000000003"/>
    <n v="0.30399999999999999"/>
    <n v="9.5000000000000001E-2"/>
    <n v="0.14799999999999999"/>
    <m/>
    <x v="3"/>
  </r>
  <r>
    <x v="137"/>
    <x v="10"/>
    <n v="118"/>
    <n v="4.4470000000000001"/>
    <m/>
    <m/>
    <m/>
    <n v="0.37"/>
    <m/>
    <n v="1.2330000000000001"/>
    <n v="0.152"/>
    <n v="0.36699999999999999"/>
    <n v="5.6000000000000001E-2"/>
    <n v="0.13900000000000001"/>
    <m/>
    <x v="3"/>
  </r>
  <r>
    <x v="161"/>
    <x v="10"/>
    <n v="119"/>
    <n v="4.4409999999999998"/>
    <m/>
    <m/>
    <m/>
    <n v="0.874"/>
    <m/>
    <n v="1.2809999999999999"/>
    <n v="0.36499999999999999"/>
    <n v="0.51900000000000002"/>
    <n v="6.4000000000000001E-2"/>
    <n v="5.0999999999999997E-2"/>
    <m/>
    <x v="3"/>
  </r>
  <r>
    <x v="144"/>
    <x v="10"/>
    <n v="120"/>
    <n v="4.4329999999999998"/>
    <m/>
    <m/>
    <m/>
    <n v="0.54900000000000004"/>
    <m/>
    <n v="1.0880000000000001"/>
    <n v="0.45700000000000002"/>
    <n v="0.69599999999999995"/>
    <n v="6.5000000000000002E-2"/>
    <n v="0.25600000000000001"/>
    <m/>
    <x v="3"/>
  </r>
  <r>
    <x v="151"/>
    <x v="10"/>
    <n v="121"/>
    <n v="4.4240000000000004"/>
    <m/>
    <m/>
    <m/>
    <n v="0.314"/>
    <m/>
    <n v="1.097"/>
    <n v="0.254"/>
    <n v="0.312"/>
    <n v="0.128"/>
    <n v="0.17499999999999999"/>
    <m/>
    <x v="3"/>
  </r>
  <r>
    <x v="134"/>
    <x v="10"/>
    <n v="122"/>
    <n v="4.4189999999999996"/>
    <m/>
    <m/>
    <m/>
    <n v="0.88500000000000001"/>
    <m/>
    <n v="1.0249999999999999"/>
    <n v="0.55300000000000005"/>
    <n v="0.312"/>
    <n v="0.107"/>
    <n v="9.1999999999999998E-2"/>
    <m/>
    <x v="3"/>
  </r>
  <r>
    <x v="93"/>
    <x v="10"/>
    <n v="123"/>
    <n v="4.4169999999999998"/>
    <m/>
    <m/>
    <m/>
    <n v="0.19800000000000001"/>
    <m/>
    <n v="0.90200000000000002"/>
    <n v="0.17299999999999999"/>
    <n v="0.53100000000000003"/>
    <n v="0.158"/>
    <n v="0.20599999999999999"/>
    <m/>
    <x v="3"/>
  </r>
  <r>
    <x v="124"/>
    <x v="10"/>
    <n v="124"/>
    <n v="4.41"/>
    <m/>
    <m/>
    <m/>
    <n v="0.49299999999999999"/>
    <m/>
    <n v="1.048"/>
    <n v="0.45400000000000001"/>
    <n v="0.504"/>
    <n v="5.5E-2"/>
    <n v="0.35199999999999998"/>
    <m/>
    <x v="3"/>
  </r>
  <r>
    <x v="84"/>
    <x v="10"/>
    <n v="125"/>
    <n v="4.3769999999999998"/>
    <m/>
    <m/>
    <m/>
    <n v="0.56200000000000006"/>
    <m/>
    <n v="1.0469999999999999"/>
    <n v="0.29499999999999998"/>
    <n v="0.503"/>
    <n v="8.2000000000000003E-2"/>
    <n v="0.221"/>
    <m/>
    <x v="3"/>
  </r>
  <r>
    <x v="123"/>
    <x v="10"/>
    <n v="126"/>
    <n v="4.3559999999999999"/>
    <m/>
    <m/>
    <m/>
    <n v="0.55700000000000005"/>
    <m/>
    <n v="1.2450000000000001"/>
    <n v="0.29199999999999998"/>
    <n v="0.129"/>
    <n v="9.2999999999999999E-2"/>
    <n v="0.13400000000000001"/>
    <m/>
    <x v="3"/>
  </r>
  <r>
    <x v="121"/>
    <x v="10"/>
    <n v="127"/>
    <n v="4.3499999999999996"/>
    <m/>
    <m/>
    <m/>
    <n v="0.308"/>
    <m/>
    <n v="0.95"/>
    <n v="0.39100000000000001"/>
    <n v="0.45200000000000001"/>
    <n v="0.14599999999999999"/>
    <n v="0.22"/>
    <m/>
    <x v="3"/>
  </r>
  <r>
    <x v="129"/>
    <x v="10"/>
    <n v="128"/>
    <n v="4.34"/>
    <m/>
    <m/>
    <m/>
    <n v="0.85299999999999998"/>
    <m/>
    <n v="0.59199999999999997"/>
    <n v="0.64300000000000002"/>
    <n v="0.375"/>
    <n v="0.215"/>
    <n v="3.7999999999999999E-2"/>
    <m/>
    <x v="3"/>
  </r>
  <r>
    <x v="126"/>
    <x v="10"/>
    <n v="129"/>
    <n v="4.3209999999999997"/>
    <m/>
    <m/>
    <m/>
    <n v="0.81599999999999995"/>
    <m/>
    <n v="0.99"/>
    <n v="0.66600000000000004"/>
    <n v="0.26"/>
    <n v="2.8000000000000001E-2"/>
    <n v="7.6999999999999999E-2"/>
    <m/>
    <x v="3"/>
  </r>
  <r>
    <x v="128"/>
    <x v="10"/>
    <n v="130"/>
    <n v="4.3079999999999998"/>
    <m/>
    <m/>
    <m/>
    <n v="0.68200000000000005"/>
    <m/>
    <n v="1.1739999999999999"/>
    <n v="0.42899999999999999"/>
    <n v="0.57999999999999996"/>
    <n v="0.17799999999999999"/>
    <n v="0.59799999999999998"/>
    <m/>
    <x v="3"/>
  </r>
  <r>
    <x v="148"/>
    <x v="10"/>
    <n v="131"/>
    <n v="4.3010000000000002"/>
    <m/>
    <m/>
    <m/>
    <n v="0.35799999999999998"/>
    <m/>
    <n v="0.90700000000000003"/>
    <n v="5.2999999999999999E-2"/>
    <n v="0.189"/>
    <n v="0.06"/>
    <n v="0.18099999999999999"/>
    <m/>
    <x v="3"/>
  </r>
  <r>
    <x v="119"/>
    <x v="10"/>
    <n v="132"/>
    <n v="4.2450000000000001"/>
    <m/>
    <m/>
    <m/>
    <n v="6.9000000000000006E-2"/>
    <m/>
    <n v="1.1359999999999999"/>
    <n v="0.20399999999999999"/>
    <n v="0.312"/>
    <n v="5.1999999999999998E-2"/>
    <n v="0.19700000000000001"/>
    <m/>
    <x v="3"/>
  </r>
  <r>
    <x v="116"/>
    <x v="10"/>
    <n v="133"/>
    <n v="4.1900000000000004"/>
    <m/>
    <m/>
    <m/>
    <n v="0.72099999999999997"/>
    <m/>
    <n v="0.747"/>
    <n v="0.48499999999999999"/>
    <n v="0.53900000000000003"/>
    <n v="9.2999999999999999E-2"/>
    <n v="0.17199999999999999"/>
    <m/>
    <x v="3"/>
  </r>
  <r>
    <x v="143"/>
    <x v="10"/>
    <n v="134"/>
    <n v="4.1660000000000004"/>
    <m/>
    <m/>
    <m/>
    <n v="0.13100000000000001"/>
    <m/>
    <n v="0.86699999999999999"/>
    <n v="0.221"/>
    <n v="0.39"/>
    <n v="9.9000000000000005E-2"/>
    <n v="0.17499999999999999"/>
    <m/>
    <x v="3"/>
  </r>
  <r>
    <x v="140"/>
    <x v="10"/>
    <n v="135"/>
    <n v="4.1609999999999996"/>
    <m/>
    <m/>
    <m/>
    <n v="0.32200000000000001"/>
    <m/>
    <n v="1.0900000000000001"/>
    <n v="0.23699999999999999"/>
    <n v="0.45"/>
    <n v="6.0999999999999999E-2"/>
    <n v="0.25900000000000001"/>
    <m/>
    <x v="3"/>
  </r>
  <r>
    <x v="154"/>
    <x v="10"/>
    <n v="136"/>
    <n v="4.141"/>
    <m/>
    <m/>
    <m/>
    <n v="0.378"/>
    <m/>
    <n v="0.372"/>
    <n v="0.24"/>
    <n v="0.44"/>
    <n v="6.7000000000000004E-2"/>
    <n v="0.16300000000000001"/>
    <m/>
    <x v="3"/>
  </r>
  <r>
    <x v="117"/>
    <x v="10"/>
    <n v="137"/>
    <n v="4.1390000000000002"/>
    <m/>
    <m/>
    <m/>
    <n v="0.60499999999999998"/>
    <m/>
    <n v="1.24"/>
    <n v="0.312"/>
    <n v="1.6E-2"/>
    <n v="8.2000000000000003E-2"/>
    <n v="0.13400000000000001"/>
    <m/>
    <x v="3"/>
  </r>
  <r>
    <x v="110"/>
    <x v="10"/>
    <n v="138"/>
    <n v="4.1029999999999998"/>
    <m/>
    <m/>
    <m/>
    <n v="0.79300000000000004"/>
    <m/>
    <n v="1.413"/>
    <n v="0.60899999999999999"/>
    <n v="0.16300000000000001"/>
    <n v="1.0999999999999999E-2"/>
    <n v="0.187"/>
    <m/>
    <x v="3"/>
  </r>
  <r>
    <x v="157"/>
    <x v="10"/>
    <n v="139"/>
    <n v="3.9990000000000001"/>
    <m/>
    <m/>
    <m/>
    <n v="0.25900000000000001"/>
    <m/>
    <n v="0.47399999999999998"/>
    <n v="0.253"/>
    <n v="0.434"/>
    <n v="0.10100000000000001"/>
    <n v="0.158"/>
    <m/>
    <x v="3"/>
  </r>
  <r>
    <x v="149"/>
    <x v="10"/>
    <n v="140"/>
    <n v="3.964"/>
    <m/>
    <m/>
    <m/>
    <n v="0.34399999999999997"/>
    <m/>
    <n v="0.79200000000000004"/>
    <n v="0.21099999999999999"/>
    <n v="0.39400000000000002"/>
    <n v="9.4E-2"/>
    <n v="0.185"/>
    <m/>
    <x v="3"/>
  </r>
  <r>
    <x v="96"/>
    <x v="10"/>
    <n v="141"/>
    <n v="3.8079999999999998"/>
    <m/>
    <m/>
    <m/>
    <n v="0.47199999999999998"/>
    <m/>
    <n v="1.2150000000000001"/>
    <n v="7.9000000000000001E-2"/>
    <n v="0.42299999999999999"/>
    <n v="0.112"/>
    <n v="0.11600000000000001"/>
    <m/>
    <x v="3"/>
  </r>
  <r>
    <x v="136"/>
    <x v="10"/>
    <n v="142"/>
    <n v="3.7949999999999999"/>
    <m/>
    <m/>
    <m/>
    <n v="0.73"/>
    <m/>
    <n v="1.125"/>
    <n v="0.26900000000000002"/>
    <n v="0"/>
    <n v="6.0999999999999999E-2"/>
    <n v="7.9000000000000001E-2"/>
    <m/>
    <x v="3"/>
  </r>
  <r>
    <x v="146"/>
    <x v="10"/>
    <n v="143"/>
    <n v="3.774"/>
    <m/>
    <m/>
    <m/>
    <n v="0.26200000000000001"/>
    <m/>
    <n v="0.90800000000000003"/>
    <n v="0.40200000000000002"/>
    <n v="0.221"/>
    <n v="4.9000000000000002E-2"/>
    <n v="0.155"/>
    <m/>
    <x v="3"/>
  </r>
  <r>
    <x v="114"/>
    <x v="10"/>
    <n v="144"/>
    <n v="3.6920000000000002"/>
    <m/>
    <m/>
    <m/>
    <n v="0.35699999999999998"/>
    <m/>
    <n v="1.0940000000000001"/>
    <n v="0.248"/>
    <n v="0.40600000000000003"/>
    <n v="9.9000000000000005E-2"/>
    <n v="0.13200000000000001"/>
    <m/>
    <x v="3"/>
  </r>
  <r>
    <x v="152"/>
    <x v="10"/>
    <n v="145"/>
    <n v="3.6320000000000001"/>
    <m/>
    <m/>
    <m/>
    <n v="0.33200000000000002"/>
    <m/>
    <n v="0.53700000000000003"/>
    <n v="0.255"/>
    <n v="8.5000000000000006E-2"/>
    <n v="3.5999999999999997E-2"/>
    <n v="0.191"/>
    <m/>
    <x v="3"/>
  </r>
  <r>
    <x v="127"/>
    <x v="10"/>
    <n v="146"/>
    <n v="3.59"/>
    <m/>
    <m/>
    <m/>
    <n v="1.0169999999999999"/>
    <m/>
    <n v="1.1739999999999999"/>
    <n v="0.41699999999999998"/>
    <n v="0.55700000000000005"/>
    <n v="9.1999999999999998E-2"/>
    <n v="4.2000000000000003E-2"/>
    <m/>
    <x v="3"/>
  </r>
  <r>
    <x v="130"/>
    <x v="10"/>
    <n v="147"/>
    <n v="3.5870000000000002"/>
    <m/>
    <m/>
    <m/>
    <n v="0.186"/>
    <m/>
    <n v="0.54100000000000004"/>
    <n v="0.30599999999999999"/>
    <n v="0.53100000000000003"/>
    <n v="0.08"/>
    <n v="0.21"/>
    <m/>
    <x v="3"/>
  </r>
  <r>
    <x v="118"/>
    <x v="10"/>
    <n v="148"/>
    <n v="3.5819999999999999"/>
    <m/>
    <m/>
    <m/>
    <n v="0.315"/>
    <m/>
    <n v="0.71399999999999997"/>
    <n v="0.28899999999999998"/>
    <n v="2.5000000000000001E-2"/>
    <n v="0.104"/>
    <n v="0.39200000000000002"/>
    <m/>
    <x v="3"/>
  </r>
  <r>
    <x v="115"/>
    <x v="10"/>
    <n v="149"/>
    <n v="3.4950000000000001"/>
    <m/>
    <m/>
    <m/>
    <n v="7.5999999999999998E-2"/>
    <m/>
    <n v="0.85799999999999998"/>
    <n v="0.26700000000000002"/>
    <n v="0.41899999999999998"/>
    <n v="0.03"/>
    <n v="0.20599999999999999"/>
    <m/>
    <x v="3"/>
  </r>
  <r>
    <x v="155"/>
    <x v="10"/>
    <n v="150"/>
    <n v="3.4620000000000002"/>
    <m/>
    <m/>
    <m/>
    <n v="0.68899999999999995"/>
    <m/>
    <n v="0.38200000000000001"/>
    <n v="0.53900000000000003"/>
    <n v="8.7999999999999995E-2"/>
    <n v="0.14399999999999999"/>
    <n v="0.376"/>
    <m/>
    <x v="3"/>
  </r>
  <r>
    <x v="153"/>
    <x v="10"/>
    <n v="151"/>
    <n v="3.4079999999999999"/>
    <m/>
    <m/>
    <m/>
    <n v="0.33200000000000002"/>
    <m/>
    <n v="0.89600000000000002"/>
    <n v="0.4"/>
    <n v="0.63600000000000001"/>
    <n v="0.44400000000000001"/>
    <n v="0.2"/>
    <m/>
    <x v="3"/>
  </r>
  <r>
    <x v="135"/>
    <x v="10"/>
    <n v="152"/>
    <n v="3.355"/>
    <m/>
    <m/>
    <m/>
    <n v="0.442"/>
    <m/>
    <n v="1.073"/>
    <n v="0.34300000000000003"/>
    <n v="0.24399999999999999"/>
    <n v="6.4000000000000001E-2"/>
    <n v="8.3000000000000004E-2"/>
    <m/>
    <x v="3"/>
  </r>
  <r>
    <x v="145"/>
    <x v="10"/>
    <n v="153"/>
    <n v="3.3029999999999999"/>
    <m/>
    <m/>
    <m/>
    <n v="0.45500000000000002"/>
    <m/>
    <n v="0.99099999999999999"/>
    <n v="0.38100000000000001"/>
    <n v="0.48099999999999998"/>
    <n v="9.7000000000000003E-2"/>
    <n v="0.27"/>
    <m/>
    <x v="3"/>
  </r>
  <r>
    <x v="162"/>
    <x v="10"/>
    <n v="154"/>
    <n v="3.254"/>
    <m/>
    <m/>
    <m/>
    <n v="0.33700000000000002"/>
    <m/>
    <n v="0.60799999999999998"/>
    <n v="0.17699999999999999"/>
    <n v="0.112"/>
    <n v="0.106"/>
    <n v="0.224"/>
    <m/>
    <x v="3"/>
  </r>
  <r>
    <x v="147"/>
    <x v="10"/>
    <n v="155"/>
    <n v="3.0830000000000002"/>
    <m/>
    <m/>
    <m/>
    <n v="2.4E-2"/>
    <m/>
    <n v="0"/>
    <n v="0.01"/>
    <n v="0.30499999999999999"/>
    <n v="3.7999999999999999E-2"/>
    <n v="0.218"/>
    <m/>
    <x v="3"/>
  </r>
  <r>
    <x v="156"/>
    <x v="10"/>
    <n v="156"/>
    <n v="2.9049999999999998"/>
    <m/>
    <m/>
    <m/>
    <n v="9.0999999999999998E-2"/>
    <m/>
    <n v="0.627"/>
    <n v="0.14499999999999999"/>
    <n v="6.5000000000000002E-2"/>
    <n v="7.5999999999999998E-2"/>
    <n v="0.14899999999999999"/>
    <m/>
    <x v="3"/>
  </r>
  <r>
    <x v="5"/>
    <x v="10"/>
    <n v="1"/>
    <n v="7.7690000000000001"/>
    <m/>
    <m/>
    <m/>
    <n v="1.34"/>
    <m/>
    <n v="1.587"/>
    <n v="0.98599999999999999"/>
    <n v="0.59599999999999997"/>
    <n v="0.39300000000000002"/>
    <n v="0.153"/>
    <m/>
    <x v="4"/>
  </r>
  <r>
    <x v="2"/>
    <x v="10"/>
    <n v="2"/>
    <n v="7.6"/>
    <m/>
    <m/>
    <m/>
    <n v="1.383"/>
    <m/>
    <n v="1.573"/>
    <n v="0.996"/>
    <n v="0.59199999999999997"/>
    <n v="0.41"/>
    <n v="0.252"/>
    <m/>
    <x v="4"/>
  </r>
  <r>
    <x v="3"/>
    <x v="10"/>
    <n v="3"/>
    <n v="7.5540000000000003"/>
    <m/>
    <m/>
    <m/>
    <n v="1.488"/>
    <m/>
    <n v="1.5820000000000001"/>
    <n v="1.028"/>
    <n v="0.60299999999999998"/>
    <n v="0.34100000000000003"/>
    <n v="0.27100000000000002"/>
    <m/>
    <x v="4"/>
  </r>
  <r>
    <x v="1"/>
    <x v="10"/>
    <n v="4"/>
    <n v="7.4939999999999998"/>
    <m/>
    <m/>
    <m/>
    <n v="1.38"/>
    <m/>
    <n v="1.6240000000000001"/>
    <n v="1.026"/>
    <n v="0.59099999999999997"/>
    <n v="0.11799999999999999"/>
    <n v="0.35399999999999998"/>
    <m/>
    <x v="4"/>
  </r>
  <r>
    <x v="6"/>
    <x v="10"/>
    <n v="5"/>
    <n v="7.4880000000000004"/>
    <m/>
    <m/>
    <m/>
    <n v="1.3959999999999999"/>
    <m/>
    <n v="1.522"/>
    <n v="0.999"/>
    <n v="0.55700000000000005"/>
    <n v="0.29799999999999999"/>
    <n v="0.32200000000000001"/>
    <m/>
    <x v="4"/>
  </r>
  <r>
    <x v="0"/>
    <x v="10"/>
    <n v="6"/>
    <n v="7.48"/>
    <m/>
    <m/>
    <m/>
    <n v="1.452"/>
    <m/>
    <n v="1.526"/>
    <n v="1.052"/>
    <n v="0.57199999999999995"/>
    <n v="0.34300000000000003"/>
    <n v="0.26300000000000001"/>
    <m/>
    <x v="4"/>
  </r>
  <r>
    <x v="7"/>
    <x v="10"/>
    <n v="7"/>
    <n v="7.343"/>
    <m/>
    <m/>
    <m/>
    <n v="1.387"/>
    <m/>
    <n v="1.4870000000000001"/>
    <n v="1.0089999999999999"/>
    <n v="0.57399999999999995"/>
    <n v="0.373"/>
    <n v="0.26700000000000002"/>
    <m/>
    <x v="4"/>
  </r>
  <r>
    <x v="8"/>
    <x v="10"/>
    <n v="8"/>
    <n v="7.3070000000000004"/>
    <m/>
    <m/>
    <m/>
    <n v="1.3029999999999999"/>
    <m/>
    <n v="1.5569999999999999"/>
    <n v="1.026"/>
    <n v="0.58499999999999996"/>
    <n v="0.38"/>
    <n v="0.33"/>
    <m/>
    <x v="4"/>
  </r>
  <r>
    <x v="4"/>
    <x v="10"/>
    <n v="9"/>
    <n v="7.2779999999999996"/>
    <m/>
    <m/>
    <m/>
    <n v="1.365"/>
    <m/>
    <n v="1.5049999999999999"/>
    <n v="1.0389999999999999"/>
    <n v="0.58399999999999996"/>
    <n v="0.308"/>
    <n v="0.28499999999999998"/>
    <m/>
    <x v="4"/>
  </r>
  <r>
    <x v="12"/>
    <x v="10"/>
    <n v="10"/>
    <n v="7.2460000000000004"/>
    <m/>
    <m/>
    <m/>
    <n v="1.3759999999999999"/>
    <m/>
    <n v="1.4750000000000001"/>
    <n v="1.016"/>
    <n v="0.53200000000000003"/>
    <n v="0.22600000000000001"/>
    <n v="0.24399999999999999"/>
    <m/>
    <x v="4"/>
  </r>
  <r>
    <x v="9"/>
    <x v="10"/>
    <n v="11"/>
    <n v="7.2279999999999998"/>
    <m/>
    <m/>
    <m/>
    <n v="1.3720000000000001"/>
    <m/>
    <n v="1.548"/>
    <n v="1.036"/>
    <n v="0.55700000000000005"/>
    <n v="0.28999999999999998"/>
    <n v="0.33200000000000002"/>
    <m/>
    <x v="4"/>
  </r>
  <r>
    <x v="11"/>
    <x v="10"/>
    <n v="12"/>
    <n v="7.1669999999999998"/>
    <m/>
    <m/>
    <m/>
    <n v="1.034"/>
    <m/>
    <n v="1.4410000000000001"/>
    <n v="0.96299999999999997"/>
    <n v="0.55800000000000005"/>
    <n v="9.2999999999999999E-2"/>
    <n v="0.14399999999999999"/>
    <m/>
    <x v="4"/>
  </r>
  <r>
    <x v="10"/>
    <x v="10"/>
    <n v="13"/>
    <n v="7.1390000000000002"/>
    <m/>
    <m/>
    <m/>
    <n v="1.276"/>
    <m/>
    <n v="1.4550000000000001"/>
    <n v="1.0289999999999999"/>
    <n v="0.371"/>
    <n v="8.2000000000000003E-2"/>
    <n v="0.26100000000000001"/>
    <m/>
    <x v="4"/>
  </r>
  <r>
    <x v="16"/>
    <x v="10"/>
    <n v="14"/>
    <n v="7.09"/>
    <m/>
    <m/>
    <m/>
    <n v="1.609"/>
    <m/>
    <n v="1.4790000000000001"/>
    <n v="1.012"/>
    <n v="0.52600000000000002"/>
    <n v="0.316"/>
    <n v="0.19400000000000001"/>
    <m/>
    <x v="4"/>
  </r>
  <r>
    <x v="20"/>
    <x v="10"/>
    <n v="15"/>
    <n v="7.0540000000000003"/>
    <m/>
    <m/>
    <m/>
    <n v="1.333"/>
    <m/>
    <n v="1.538"/>
    <n v="0.996"/>
    <n v="0.45"/>
    <n v="0.27800000000000002"/>
    <n v="0.34799999999999998"/>
    <m/>
    <x v="4"/>
  </r>
  <r>
    <x v="17"/>
    <x v="10"/>
    <n v="16"/>
    <n v="7.0209999999999999"/>
    <m/>
    <m/>
    <m/>
    <n v="1.4990000000000001"/>
    <m/>
    <n v="1.5529999999999999"/>
    <n v="0.999"/>
    <n v="0.51600000000000001"/>
    <n v="0.31"/>
    <n v="0.29799999999999999"/>
    <m/>
    <x v="4"/>
  </r>
  <r>
    <x v="25"/>
    <x v="10"/>
    <n v="17"/>
    <n v="6.9850000000000003"/>
    <m/>
    <m/>
    <m/>
    <n v="1.373"/>
    <m/>
    <n v="1.454"/>
    <n v="0.98699999999999999"/>
    <n v="0.495"/>
    <n v="0.26500000000000001"/>
    <n v="0.26100000000000001"/>
    <m/>
    <x v="4"/>
  </r>
  <r>
    <x v="18"/>
    <x v="10"/>
    <n v="18"/>
    <n v="6.923"/>
    <m/>
    <m/>
    <m/>
    <n v="1.3560000000000001"/>
    <m/>
    <n v="1.504"/>
    <n v="0.98599999999999999"/>
    <n v="0.47299999999999998"/>
    <n v="0.21"/>
    <n v="0.16"/>
    <m/>
    <x v="4"/>
  </r>
  <r>
    <x v="14"/>
    <x v="10"/>
    <n v="19"/>
    <n v="6.8920000000000003"/>
    <m/>
    <m/>
    <m/>
    <n v="1.4330000000000001"/>
    <m/>
    <n v="1.4570000000000001"/>
    <n v="0.874"/>
    <n v="0.45400000000000001"/>
    <n v="0.128"/>
    <n v="0.28000000000000003"/>
    <m/>
    <x v="4"/>
  </r>
  <r>
    <x v="30"/>
    <x v="10"/>
    <n v="20"/>
    <n v="6.8520000000000003"/>
    <m/>
    <m/>
    <m/>
    <n v="1.2689999999999999"/>
    <m/>
    <n v="1.4870000000000001"/>
    <n v="0.92"/>
    <n v="0.45700000000000002"/>
    <n v="3.5999999999999997E-2"/>
    <n v="4.5999999999999999E-2"/>
    <m/>
    <x v="4"/>
  </r>
  <r>
    <x v="19"/>
    <x v="10"/>
    <n v="21"/>
    <n v="6.8250000000000002"/>
    <m/>
    <m/>
    <m/>
    <n v="1.5029999999999999"/>
    <m/>
    <n v="1.31"/>
    <n v="0.82499999999999996"/>
    <n v="0.59799999999999998"/>
    <n v="0.182"/>
    <n v="0.26200000000000001"/>
    <m/>
    <x v="4"/>
  </r>
  <r>
    <x v="36"/>
    <x v="10"/>
    <n v="22"/>
    <n v="6.726"/>
    <m/>
    <m/>
    <m/>
    <n v="1.3"/>
    <m/>
    <n v="1.52"/>
    <n v="0.999"/>
    <n v="0.56399999999999995"/>
    <n v="0.151"/>
    <n v="0.375"/>
    <m/>
    <x v="4"/>
  </r>
  <r>
    <x v="13"/>
    <x v="10"/>
    <n v="23"/>
    <n v="6.5949999999999998"/>
    <m/>
    <m/>
    <m/>
    <n v="1.07"/>
    <m/>
    <n v="1.323"/>
    <n v="0.86099999999999999"/>
    <n v="0.433"/>
    <n v="7.2999999999999995E-2"/>
    <n v="7.3999999999999996E-2"/>
    <m/>
    <x v="4"/>
  </r>
  <r>
    <x v="28"/>
    <x v="10"/>
    <n v="24"/>
    <n v="6.5919999999999996"/>
    <m/>
    <m/>
    <m/>
    <n v="1.3240000000000001"/>
    <m/>
    <n v="1.472"/>
    <n v="1.0449999999999999"/>
    <n v="0.436"/>
    <n v="0.183"/>
    <n v="0.111"/>
    <m/>
    <x v="4"/>
  </r>
  <r>
    <x v="37"/>
    <x v="10"/>
    <n v="25"/>
    <n v="6.4459999999999997"/>
    <m/>
    <m/>
    <m/>
    <n v="1.3680000000000001"/>
    <m/>
    <n v="1.43"/>
    <n v="0.91400000000000003"/>
    <n v="0.35099999999999998"/>
    <n v="9.7000000000000003E-2"/>
    <n v="0.24199999999999999"/>
    <m/>
    <x v="4"/>
  </r>
  <r>
    <x v="26"/>
    <x v="10"/>
    <n v="26"/>
    <n v="6.444"/>
    <m/>
    <m/>
    <m/>
    <n v="1.159"/>
    <m/>
    <n v="1.369"/>
    <n v="0.92"/>
    <n v="0.35699999999999998"/>
    <n v="5.6000000000000001E-2"/>
    <n v="0.187"/>
    <m/>
    <x v="4"/>
  </r>
  <r>
    <x v="42"/>
    <x v="10"/>
    <n v="27"/>
    <n v="6.4359999999999999"/>
    <m/>
    <m/>
    <m/>
    <n v="0.8"/>
    <m/>
    <n v="1.2689999999999999"/>
    <n v="0.746"/>
    <n v="0.53500000000000003"/>
    <n v="7.8E-2"/>
    <n v="0.17499999999999999"/>
    <m/>
    <x v="4"/>
  </r>
  <r>
    <x v="34"/>
    <x v="10"/>
    <n v="28"/>
    <n v="6.375"/>
    <m/>
    <m/>
    <m/>
    <n v="1.403"/>
    <m/>
    <n v="1.357"/>
    <n v="0.79500000000000004"/>
    <n v="0.439"/>
    <n v="0.13200000000000001"/>
    <n v="0.08"/>
    <m/>
    <x v="4"/>
  </r>
  <r>
    <x v="27"/>
    <x v="10"/>
    <n v="29"/>
    <n v="6.3739999999999997"/>
    <m/>
    <m/>
    <m/>
    <n v="1.6839999999999999"/>
    <m/>
    <n v="1.3129999999999999"/>
    <n v="0.871"/>
    <n v="0.55500000000000005"/>
    <n v="0.16700000000000001"/>
    <n v="0.22"/>
    <m/>
    <x v="4"/>
  </r>
  <r>
    <x v="35"/>
    <x v="10"/>
    <n v="30"/>
    <n v="6.3540000000000001"/>
    <m/>
    <m/>
    <m/>
    <n v="1.286"/>
    <m/>
    <n v="1.484"/>
    <n v="1.0620000000000001"/>
    <n v="0.36199999999999999"/>
    <n v="7.9000000000000001E-2"/>
    <n v="0.153"/>
    <m/>
    <x v="4"/>
  </r>
  <r>
    <x v="24"/>
    <x v="10"/>
    <n v="31"/>
    <n v="6.3209999999999997"/>
    <m/>
    <m/>
    <m/>
    <n v="1.149"/>
    <m/>
    <n v="1.4419999999999999"/>
    <n v="0.91"/>
    <n v="0.51600000000000001"/>
    <n v="5.3999999999999999E-2"/>
    <n v="0.109"/>
    <m/>
    <x v="4"/>
  </r>
  <r>
    <x v="15"/>
    <x v="10"/>
    <n v="32"/>
    <n v="6.3"/>
    <m/>
    <m/>
    <m/>
    <n v="1.004"/>
    <m/>
    <n v="1.4390000000000001"/>
    <n v="0.80200000000000005"/>
    <n v="0.39"/>
    <n v="8.5999999999999993E-2"/>
    <n v="9.9000000000000005E-2"/>
    <m/>
    <x v="4"/>
  </r>
  <r>
    <x v="31"/>
    <x v="10"/>
    <n v="33"/>
    <n v="6.2930000000000001"/>
    <m/>
    <m/>
    <m/>
    <n v="1.1240000000000001"/>
    <m/>
    <n v="1.4650000000000001"/>
    <n v="0.89100000000000001"/>
    <n v="0.52300000000000002"/>
    <n v="0.15"/>
    <n v="0.127"/>
    <m/>
    <x v="4"/>
  </r>
  <r>
    <x v="23"/>
    <x v="10"/>
    <n v="34"/>
    <n v="6.2619999999999996"/>
    <m/>
    <m/>
    <m/>
    <n v="1.5720000000000001"/>
    <m/>
    <n v="1.4630000000000001"/>
    <n v="1.141"/>
    <n v="0.55600000000000005"/>
    <n v="0.45300000000000001"/>
    <n v="0.27100000000000002"/>
    <m/>
    <x v="4"/>
  </r>
  <r>
    <x v="41"/>
    <x v="10"/>
    <n v="35"/>
    <n v="6.2530000000000001"/>
    <m/>
    <m/>
    <m/>
    <n v="0.79400000000000004"/>
    <m/>
    <n v="1.242"/>
    <n v="0.78900000000000003"/>
    <n v="0.43"/>
    <n v="7.3999999999999996E-2"/>
    <n v="9.2999999999999999E-2"/>
    <m/>
    <x v="4"/>
  </r>
  <r>
    <x v="49"/>
    <x v="10"/>
    <n v="36"/>
    <n v="6.2229999999999999"/>
    <m/>
    <m/>
    <m/>
    <n v="1.294"/>
    <m/>
    <n v="1.488"/>
    <n v="1.0389999999999999"/>
    <n v="0.23100000000000001"/>
    <n v="0.03"/>
    <n v="0.158"/>
    <m/>
    <x v="4"/>
  </r>
  <r>
    <x v="48"/>
    <x v="10"/>
    <n v="37"/>
    <n v="6.1989999999999998"/>
    <m/>
    <m/>
    <m/>
    <n v="1.3620000000000001"/>
    <m/>
    <n v="1.3680000000000001"/>
    <n v="0.871"/>
    <n v="0.53600000000000003"/>
    <n v="0.11"/>
    <n v="0.255"/>
    <m/>
    <x v="4"/>
  </r>
  <r>
    <x v="44"/>
    <x v="10"/>
    <n v="38"/>
    <n v="6.1980000000000004"/>
    <m/>
    <m/>
    <m/>
    <n v="1.246"/>
    <m/>
    <n v="1.504"/>
    <n v="0.88100000000000001"/>
    <n v="0.33400000000000002"/>
    <n v="1.4E-2"/>
    <n v="0.121"/>
    <m/>
    <x v="4"/>
  </r>
  <r>
    <x v="165"/>
    <x v="10"/>
    <n v="39"/>
    <n v="6.1920000000000002"/>
    <m/>
    <m/>
    <m/>
    <n v="1.2310000000000001"/>
    <m/>
    <n v="1.4770000000000001"/>
    <n v="0.71299999999999997"/>
    <n v="0.48899999999999999"/>
    <n v="1.6E-2"/>
    <n v="0.185"/>
    <m/>
    <x v="4"/>
  </r>
  <r>
    <x v="59"/>
    <x v="10"/>
    <n v="40"/>
    <n v="6.1820000000000004"/>
    <m/>
    <m/>
    <m/>
    <n v="1.206"/>
    <m/>
    <n v="1.4379999999999999"/>
    <n v="0.88400000000000001"/>
    <n v="0.48299999999999998"/>
    <n v="0.05"/>
    <n v="0.11700000000000001"/>
    <m/>
    <x v="4"/>
  </r>
  <r>
    <x v="43"/>
    <x v="10"/>
    <n v="41"/>
    <n v="6.1740000000000004"/>
    <m/>
    <m/>
    <m/>
    <n v="0.745"/>
    <m/>
    <n v="1.5289999999999999"/>
    <n v="0.75600000000000001"/>
    <n v="0.63100000000000001"/>
    <n v="0.24"/>
    <n v="0.32200000000000001"/>
    <m/>
    <x v="4"/>
  </r>
  <r>
    <x v="55"/>
    <x v="10"/>
    <n v="42"/>
    <n v="6.149"/>
    <m/>
    <m/>
    <m/>
    <n v="1.238"/>
    <m/>
    <n v="1.5149999999999999"/>
    <n v="0.81799999999999995"/>
    <n v="0.29099999999999998"/>
    <n v="4.2000000000000003E-2"/>
    <n v="4.2999999999999997E-2"/>
    <m/>
    <x v="4"/>
  </r>
  <r>
    <x v="32"/>
    <x v="10"/>
    <n v="43"/>
    <n v="6.125"/>
    <m/>
    <m/>
    <m/>
    <n v="0.98499999999999999"/>
    <m/>
    <n v="1.41"/>
    <n v="0.84099999999999997"/>
    <n v="0.47"/>
    <n v="3.4000000000000002E-2"/>
    <n v="9.9000000000000005E-2"/>
    <m/>
    <x v="4"/>
  </r>
  <r>
    <x v="54"/>
    <x v="10"/>
    <n v="44"/>
    <n v="6.1180000000000003"/>
    <m/>
    <m/>
    <m/>
    <n v="1.258"/>
    <m/>
    <n v="1.5229999999999999"/>
    <n v="0.95299999999999996"/>
    <n v="0.56399999999999995"/>
    <n v="5.7000000000000002E-2"/>
    <n v="0.14399999999999999"/>
    <m/>
    <x v="4"/>
  </r>
  <r>
    <x v="56"/>
    <x v="10"/>
    <n v="45"/>
    <n v="6.1050000000000004"/>
    <m/>
    <m/>
    <m/>
    <n v="0.69399999999999995"/>
    <m/>
    <n v="1.325"/>
    <n v="0.83499999999999996"/>
    <n v="0.435"/>
    <n v="0.127"/>
    <n v="0.2"/>
    <m/>
    <x v="4"/>
  </r>
  <r>
    <x v="68"/>
    <x v="10"/>
    <n v="46"/>
    <n v="6.1"/>
    <m/>
    <m/>
    <m/>
    <n v="0.88200000000000001"/>
    <m/>
    <n v="1.232"/>
    <n v="0.75800000000000001"/>
    <n v="0.48899999999999999"/>
    <n v="6.0000000000000001E-3"/>
    <n v="0.26200000000000001"/>
    <m/>
    <x v="4"/>
  </r>
  <r>
    <x v="29"/>
    <x v="10"/>
    <n v="47"/>
    <n v="6.0860000000000003"/>
    <m/>
    <m/>
    <m/>
    <n v="1.0920000000000001"/>
    <m/>
    <n v="1.4319999999999999"/>
    <n v="0.88100000000000001"/>
    <n v="0.47099999999999997"/>
    <n v="0.05"/>
    <n v="6.6000000000000003E-2"/>
    <m/>
    <x v="4"/>
  </r>
  <r>
    <x v="85"/>
    <x v="10"/>
    <n v="48"/>
    <n v="6.07"/>
    <m/>
    <m/>
    <m/>
    <n v="1.1619999999999999"/>
    <m/>
    <n v="1.232"/>
    <n v="0.82499999999999996"/>
    <n v="0.46200000000000002"/>
    <n v="5.0000000000000001E-3"/>
    <n v="8.3000000000000004E-2"/>
    <m/>
    <x v="4"/>
  </r>
  <r>
    <x v="66"/>
    <x v="10"/>
    <n v="49"/>
    <n v="6.0460000000000003"/>
    <m/>
    <m/>
    <m/>
    <n v="1.2629999999999999"/>
    <m/>
    <n v="1.2230000000000001"/>
    <n v="1.042"/>
    <n v="0.40600000000000003"/>
    <n v="4.1000000000000002E-2"/>
    <n v="0.19"/>
    <m/>
    <x v="4"/>
  </r>
  <r>
    <x v="47"/>
    <x v="10"/>
    <n v="50"/>
    <n v="6.0279999999999996"/>
    <m/>
    <m/>
    <m/>
    <n v="0.91200000000000003"/>
    <m/>
    <n v="1.3120000000000001"/>
    <n v="0.86799999999999999"/>
    <n v="0.498"/>
    <n v="8.6999999999999994E-2"/>
    <n v="0.126"/>
    <m/>
    <x v="4"/>
  </r>
  <r>
    <x v="38"/>
    <x v="10"/>
    <n v="51"/>
    <n v="6.0209999999999999"/>
    <m/>
    <m/>
    <m/>
    <n v="1.5"/>
    <m/>
    <n v="1.319"/>
    <n v="0.80800000000000005"/>
    <n v="0.49299999999999999"/>
    <n v="9.7000000000000003E-2"/>
    <n v="0.14199999999999999"/>
    <m/>
    <x v="4"/>
  </r>
  <r>
    <x v="33"/>
    <x v="10"/>
    <n v="52"/>
    <n v="6.008"/>
    <m/>
    <m/>
    <m/>
    <n v="1.05"/>
    <m/>
    <n v="1.409"/>
    <n v="0.82799999999999996"/>
    <n v="0.55700000000000005"/>
    <n v="2.8000000000000001E-2"/>
    <n v="0.35899999999999999"/>
    <m/>
    <x v="4"/>
  </r>
  <r>
    <x v="88"/>
    <x v="10"/>
    <n v="53"/>
    <n v="5.94"/>
    <m/>
    <m/>
    <m/>
    <n v="1.1870000000000001"/>
    <m/>
    <n v="1.4650000000000001"/>
    <n v="0.81200000000000006"/>
    <n v="0.26400000000000001"/>
    <n v="6.4000000000000001E-2"/>
    <n v="7.4999999999999997E-2"/>
    <m/>
    <x v="4"/>
  </r>
  <r>
    <x v="46"/>
    <x v="10"/>
    <n v="54"/>
    <n v="5.8949999999999996"/>
    <m/>
    <m/>
    <m/>
    <n v="1.3009999999999999"/>
    <m/>
    <n v="1.2190000000000001"/>
    <n v="1.036"/>
    <n v="0.159"/>
    <n v="5.6000000000000001E-2"/>
    <n v="0.17499999999999999"/>
    <m/>
    <x v="4"/>
  </r>
  <r>
    <x v="72"/>
    <x v="10"/>
    <n v="55"/>
    <n v="5.8929999999999998"/>
    <m/>
    <m/>
    <m/>
    <n v="1.2370000000000001"/>
    <m/>
    <n v="1.528"/>
    <n v="0.874"/>
    <n v="0.495"/>
    <n v="0.161"/>
    <n v="0.10299999999999999"/>
    <m/>
    <x v="4"/>
  </r>
  <r>
    <x v="64"/>
    <x v="10"/>
    <n v="56"/>
    <n v="5.89"/>
    <m/>
    <m/>
    <m/>
    <n v="0.83099999999999996"/>
    <m/>
    <n v="1.478"/>
    <n v="0.83099999999999996"/>
    <n v="0.49"/>
    <n v="2.8000000000000001E-2"/>
    <n v="0.107"/>
    <m/>
    <x v="4"/>
  </r>
  <r>
    <x v="70"/>
    <x v="10"/>
    <n v="57"/>
    <n v="5.8879999999999999"/>
    <m/>
    <m/>
    <m/>
    <n v="1.1200000000000001"/>
    <m/>
    <n v="1.4019999999999999"/>
    <n v="0.79800000000000004"/>
    <n v="0.498"/>
    <n v="0.06"/>
    <n v="0.215"/>
    <m/>
    <x v="4"/>
  </r>
  <r>
    <x v="45"/>
    <x v="10"/>
    <n v="58"/>
    <n v="5.8860000000000001"/>
    <m/>
    <m/>
    <m/>
    <n v="1.327"/>
    <m/>
    <n v="1.419"/>
    <n v="1.0880000000000001"/>
    <n v="0.44500000000000001"/>
    <n v="0.14000000000000001"/>
    <n v="6.9000000000000006E-2"/>
    <m/>
    <x v="4"/>
  </r>
  <r>
    <x v="104"/>
    <x v="10"/>
    <n v="59"/>
    <n v="5.86"/>
    <m/>
    <m/>
    <m/>
    <n v="0.64200000000000002"/>
    <m/>
    <n v="1.236"/>
    <n v="0.82799999999999996"/>
    <n v="0.50700000000000001"/>
    <n v="7.8E-2"/>
    <n v="0.246"/>
    <m/>
    <x v="4"/>
  </r>
  <r>
    <x v="53"/>
    <x v="10"/>
    <n v="60"/>
    <n v="5.8090000000000002"/>
    <m/>
    <m/>
    <m/>
    <n v="1.173"/>
    <m/>
    <n v="1.508"/>
    <n v="0.72899999999999998"/>
    <n v="0.41"/>
    <n v="9.6000000000000002E-2"/>
    <n v="0.14599999999999999"/>
    <m/>
    <x v="4"/>
  </r>
  <r>
    <x v="50"/>
    <x v="10"/>
    <n v="61"/>
    <n v="5.7789999999999999"/>
    <m/>
    <m/>
    <m/>
    <n v="0.77600000000000002"/>
    <m/>
    <n v="1.2090000000000001"/>
    <n v="0.70599999999999996"/>
    <n v="0.51100000000000001"/>
    <n v="6.4000000000000001E-2"/>
    <n v="0.13700000000000001"/>
    <m/>
    <x v="4"/>
  </r>
  <r>
    <x v="103"/>
    <x v="10"/>
    <n v="62"/>
    <n v="5.758"/>
    <m/>
    <m/>
    <m/>
    <n v="1.2010000000000001"/>
    <m/>
    <n v="1.41"/>
    <n v="0.82799999999999996"/>
    <n v="0.19900000000000001"/>
    <n v="0.02"/>
    <n v="8.1000000000000003E-2"/>
    <m/>
    <x v="4"/>
  </r>
  <r>
    <x v="52"/>
    <x v="10"/>
    <n v="63"/>
    <n v="5.7430000000000003"/>
    <m/>
    <m/>
    <m/>
    <n v="0.85499999999999998"/>
    <m/>
    <n v="1.4750000000000001"/>
    <n v="0.77700000000000002"/>
    <n v="0.51400000000000001"/>
    <n v="0.08"/>
    <n v="0.184"/>
    <m/>
    <x v="4"/>
  </r>
  <r>
    <x v="166"/>
    <x v="10"/>
    <n v="64"/>
    <n v="5.718"/>
    <m/>
    <m/>
    <m/>
    <n v="1.2629999999999999"/>
    <m/>
    <n v="1.252"/>
    <n v="1.042"/>
    <n v="0.41699999999999998"/>
    <n v="0.16200000000000001"/>
    <n v="0.191"/>
    <m/>
    <x v="4"/>
  </r>
  <r>
    <x v="57"/>
    <x v="10"/>
    <n v="65"/>
    <n v="5.6970000000000001"/>
    <m/>
    <m/>
    <m/>
    <n v="0.96"/>
    <m/>
    <n v="1.274"/>
    <n v="0.85399999999999998"/>
    <n v="0.45500000000000002"/>
    <n v="2.7E-2"/>
    <n v="8.3000000000000004E-2"/>
    <m/>
    <x v="4"/>
  </r>
  <r>
    <x v="87"/>
    <x v="10"/>
    <n v="66"/>
    <n v="5.6929999999999996"/>
    <m/>
    <m/>
    <m/>
    <n v="1.2210000000000001"/>
    <m/>
    <n v="1.431"/>
    <n v="0.999"/>
    <n v="0.50800000000000001"/>
    <n v="2.5000000000000001E-2"/>
    <n v="4.7E-2"/>
    <m/>
    <x v="4"/>
  </r>
  <r>
    <x v="80"/>
    <x v="10"/>
    <n v="67"/>
    <n v="5.6529999999999996"/>
    <m/>
    <m/>
    <m/>
    <n v="0.67700000000000005"/>
    <m/>
    <n v="0.88600000000000001"/>
    <n v="0.53500000000000003"/>
    <n v="0.313"/>
    <n v="9.8000000000000004E-2"/>
    <n v="0.22"/>
    <m/>
    <x v="4"/>
  </r>
  <r>
    <x v="63"/>
    <x v="10"/>
    <n v="68"/>
    <n v="5.6479999999999997"/>
    <m/>
    <m/>
    <m/>
    <n v="1.1830000000000001"/>
    <m/>
    <n v="1.452"/>
    <n v="0.72599999999999998"/>
    <n v="0.33400000000000002"/>
    <n v="3.1E-2"/>
    <n v="8.2000000000000003E-2"/>
    <m/>
    <x v="4"/>
  </r>
  <r>
    <x v="89"/>
    <x v="10"/>
    <n v="69"/>
    <n v="5.6310000000000002"/>
    <m/>
    <m/>
    <m/>
    <n v="0.80700000000000005"/>
    <m/>
    <n v="1.2929999999999999"/>
    <n v="0.65700000000000003"/>
    <n v="0.55800000000000005"/>
    <n v="0.107"/>
    <n v="0.11700000000000001"/>
    <m/>
    <x v="4"/>
  </r>
  <r>
    <x v="86"/>
    <x v="10"/>
    <n v="70"/>
    <n v="5.6029999999999998"/>
    <m/>
    <m/>
    <m/>
    <n v="1.004"/>
    <m/>
    <n v="1.383"/>
    <n v="0.85399999999999998"/>
    <n v="0.28199999999999997"/>
    <n v="3.9E-2"/>
    <n v="0.13700000000000001"/>
    <m/>
    <x v="4"/>
  </r>
  <r>
    <x v="51"/>
    <x v="10"/>
    <n v="71"/>
    <n v="5.5289999999999999"/>
    <m/>
    <m/>
    <m/>
    <n v="0.68500000000000005"/>
    <m/>
    <n v="1.3280000000000001"/>
    <n v="0.73899999999999999"/>
    <n v="0.245"/>
    <n v="0"/>
    <n v="0.18099999999999999"/>
    <m/>
    <x v="4"/>
  </r>
  <r>
    <x v="62"/>
    <x v="10"/>
    <n v="72"/>
    <n v="5.5250000000000004"/>
    <m/>
    <m/>
    <m/>
    <n v="1.044"/>
    <m/>
    <n v="1.3029999999999999"/>
    <n v="0.67300000000000004"/>
    <n v="0.41599999999999998"/>
    <n v="0.152"/>
    <n v="0.13300000000000001"/>
    <m/>
    <x v="4"/>
  </r>
  <r>
    <x v="82"/>
    <x v="10"/>
    <n v="73"/>
    <n v="5.5229999999999997"/>
    <m/>
    <m/>
    <m/>
    <n v="1.0509999999999999"/>
    <m/>
    <n v="1.361"/>
    <n v="0.871"/>
    <n v="0.19700000000000001"/>
    <n v="0.08"/>
    <n v="0.14199999999999999"/>
    <m/>
    <x v="4"/>
  </r>
  <r>
    <x v="105"/>
    <x v="10"/>
    <n v="74"/>
    <n v="5.4669999999999996"/>
    <m/>
    <m/>
    <m/>
    <n v="0.49299999999999999"/>
    <m/>
    <n v="1.0980000000000001"/>
    <n v="0.71799999999999997"/>
    <n v="0.38900000000000001"/>
    <n v="0.14399999999999999"/>
    <n v="0.23"/>
    <m/>
    <x v="4"/>
  </r>
  <r>
    <x v="61"/>
    <x v="10"/>
    <n v="75"/>
    <n v="5.4320000000000004"/>
    <m/>
    <m/>
    <m/>
    <n v="1.155"/>
    <m/>
    <n v="1.266"/>
    <n v="0.91400000000000003"/>
    <n v="0.29599999999999999"/>
    <n v="2.1999999999999999E-2"/>
    <n v="0.11899999999999999"/>
    <m/>
    <x v="4"/>
  </r>
  <r>
    <x v="71"/>
    <x v="10"/>
    <n v="76"/>
    <n v="5.43"/>
    <m/>
    <m/>
    <m/>
    <n v="1.4379999999999999"/>
    <m/>
    <n v="1.2769999999999999"/>
    <n v="1.1220000000000001"/>
    <n v="0.44"/>
    <n v="0.28699999999999998"/>
    <n v="0.25800000000000001"/>
    <m/>
    <x v="4"/>
  </r>
  <r>
    <x v="97"/>
    <x v="10"/>
    <n v="77"/>
    <n v="5.4249999999999998"/>
    <m/>
    <m/>
    <m/>
    <n v="1.0149999999999999"/>
    <m/>
    <n v="1.401"/>
    <n v="0.77900000000000003"/>
    <n v="0.497"/>
    <n v="0.10100000000000001"/>
    <n v="0.113"/>
    <m/>
    <x v="4"/>
  </r>
  <r>
    <x v="95"/>
    <x v="10"/>
    <n v="78"/>
    <n v="5.3860000000000001"/>
    <m/>
    <m/>
    <m/>
    <n v="0.94499999999999995"/>
    <m/>
    <n v="1.212"/>
    <n v="0.84499999999999997"/>
    <n v="0.21199999999999999"/>
    <n v="6.0000000000000001E-3"/>
    <n v="0.26300000000000001"/>
    <m/>
    <x v="4"/>
  </r>
  <r>
    <x v="75"/>
    <x v="10"/>
    <n v="79"/>
    <n v="5.3730000000000002"/>
    <m/>
    <m/>
    <m/>
    <n v="1.1830000000000001"/>
    <m/>
    <n v="1.36"/>
    <n v="0.80800000000000005"/>
    <n v="0.19500000000000001"/>
    <n v="0.106"/>
    <n v="8.3000000000000004E-2"/>
    <m/>
    <x v="4"/>
  </r>
  <r>
    <x v="60"/>
    <x v="10"/>
    <n v="80"/>
    <n v="5.3390000000000004"/>
    <m/>
    <m/>
    <m/>
    <n v="1.2210000000000001"/>
    <m/>
    <n v="1.171"/>
    <n v="0.82799999999999996"/>
    <n v="0.50800000000000001"/>
    <n v="2.4E-2"/>
    <n v="0.26"/>
    <m/>
    <x v="4"/>
  </r>
  <r>
    <x v="58"/>
    <x v="10"/>
    <n v="81"/>
    <n v="5.3230000000000004"/>
    <m/>
    <m/>
    <m/>
    <n v="1.0669999999999999"/>
    <m/>
    <n v="1.4650000000000001"/>
    <n v="0.78900000000000003"/>
    <n v="0.23499999999999999"/>
    <n v="0.14199999999999999"/>
    <n v="9.4E-2"/>
    <m/>
    <x v="4"/>
  </r>
  <r>
    <x v="101"/>
    <x v="10"/>
    <n v="82"/>
    <n v="5.2869999999999999"/>
    <m/>
    <m/>
    <m/>
    <n v="1.181"/>
    <m/>
    <n v="1.1559999999999999"/>
    <n v="0.999"/>
    <n v="6.7000000000000004E-2"/>
    <n v="3.4000000000000002E-2"/>
    <n v="0"/>
    <m/>
    <x v="4"/>
  </r>
  <r>
    <x v="99"/>
    <x v="10"/>
    <n v="83"/>
    <n v="5.2850000000000001"/>
    <m/>
    <m/>
    <m/>
    <n v="0.94799999999999995"/>
    <m/>
    <n v="1.5309999999999999"/>
    <n v="0.66700000000000004"/>
    <n v="0.317"/>
    <n v="3.7999999999999999E-2"/>
    <n v="0.23499999999999999"/>
    <m/>
    <x v="4"/>
  </r>
  <r>
    <x v="167"/>
    <x v="10"/>
    <n v="84"/>
    <n v="5.274"/>
    <m/>
    <m/>
    <m/>
    <n v="0.98299999999999998"/>
    <m/>
    <n v="1.294"/>
    <n v="0.83799999999999997"/>
    <n v="0.34499999999999997"/>
    <n v="3.4000000000000002E-2"/>
    <n v="0.185"/>
    <m/>
    <x v="4"/>
  </r>
  <r>
    <x v="77"/>
    <x v="10"/>
    <n v="85"/>
    <n v="5.2649999999999997"/>
    <m/>
    <m/>
    <m/>
    <n v="0.69599999999999995"/>
    <m/>
    <n v="1.111"/>
    <n v="0.245"/>
    <n v="0.42599999999999999"/>
    <n v="4.1000000000000002E-2"/>
    <n v="0.215"/>
    <m/>
    <x v="4"/>
  </r>
  <r>
    <x v="76"/>
    <x v="10"/>
    <n v="86"/>
    <n v="5.2610000000000001"/>
    <m/>
    <m/>
    <m/>
    <n v="0.55100000000000005"/>
    <m/>
    <n v="1.4379999999999999"/>
    <n v="0.72299999999999998"/>
    <n v="0.50800000000000001"/>
    <n v="2.3E-2"/>
    <n v="0.3"/>
    <m/>
    <x v="4"/>
  </r>
  <r>
    <x v="69"/>
    <x v="10"/>
    <n v="87"/>
    <n v="5.2469999999999999"/>
    <m/>
    <m/>
    <m/>
    <n v="1.052"/>
    <m/>
    <n v="1.538"/>
    <n v="0.65700000000000003"/>
    <n v="0.39400000000000002"/>
    <n v="2.8000000000000001E-2"/>
    <n v="0.24399999999999999"/>
    <m/>
    <x v="4"/>
  </r>
  <r>
    <x v="67"/>
    <x v="10"/>
    <n v="88"/>
    <n v="5.2110000000000003"/>
    <m/>
    <m/>
    <m/>
    <n v="1.002"/>
    <m/>
    <n v="1.1599999999999999"/>
    <n v="0.78500000000000003"/>
    <n v="8.5999999999999993E-2"/>
    <n v="0.114"/>
    <n v="7.2999999999999995E-2"/>
    <m/>
    <x v="4"/>
  </r>
  <r>
    <x v="91"/>
    <x v="10"/>
    <n v="89"/>
    <n v="5.2080000000000002"/>
    <m/>
    <m/>
    <m/>
    <n v="0.80100000000000005"/>
    <m/>
    <n v="0.78200000000000003"/>
    <n v="0.78200000000000003"/>
    <n v="0.41799999999999998"/>
    <n v="7.5999999999999998E-2"/>
    <n v="3.5999999999999997E-2"/>
    <m/>
    <x v="4"/>
  </r>
  <r>
    <x v="79"/>
    <x v="10"/>
    <n v="90"/>
    <n v="5.2080000000000002"/>
    <m/>
    <m/>
    <m/>
    <n v="1.0429999999999999"/>
    <m/>
    <n v="1.147"/>
    <n v="0.76900000000000002"/>
    <n v="0.35099999999999998"/>
    <n v="0.182"/>
    <n v="3.5000000000000003E-2"/>
    <m/>
    <x v="4"/>
  </r>
  <r>
    <x v="102"/>
    <x v="10"/>
    <n v="91"/>
    <n v="5.1970000000000001"/>
    <m/>
    <m/>
    <m/>
    <n v="0.98699999999999999"/>
    <m/>
    <n v="1.224"/>
    <n v="0.81499999999999995"/>
    <n v="0.216"/>
    <n v="2.7E-2"/>
    <n v="0.16600000000000001"/>
    <m/>
    <x v="4"/>
  </r>
  <r>
    <x v="73"/>
    <x v="10"/>
    <n v="92"/>
    <n v="5.1920000000000002"/>
    <m/>
    <m/>
    <m/>
    <n v="0.93100000000000005"/>
    <m/>
    <n v="1.2030000000000001"/>
    <n v="0.66"/>
    <n v="0.49099999999999999"/>
    <n v="2.8000000000000001E-2"/>
    <n v="0.498"/>
    <m/>
    <x v="4"/>
  </r>
  <r>
    <x v="83"/>
    <x v="10"/>
    <n v="93"/>
    <n v="5.1909999999999998"/>
    <m/>
    <m/>
    <m/>
    <n v="1.0289999999999999"/>
    <m/>
    <n v="1.125"/>
    <n v="0.89300000000000002"/>
    <n v="0.52100000000000002"/>
    <n v="0.1"/>
    <n v="5.8000000000000003E-2"/>
    <m/>
    <x v="4"/>
  </r>
  <r>
    <x v="74"/>
    <x v="10"/>
    <n v="94"/>
    <n v="5.1749999999999998"/>
    <m/>
    <m/>
    <m/>
    <n v="0.74099999999999999"/>
    <m/>
    <n v="1.3460000000000001"/>
    <n v="0.85099999999999998"/>
    <n v="0.54300000000000004"/>
    <n v="7.2999999999999995E-2"/>
    <n v="0.14699999999999999"/>
    <m/>
    <x v="4"/>
  </r>
  <r>
    <x v="78"/>
    <x v="10"/>
    <n v="95"/>
    <n v="5.0819999999999999"/>
    <m/>
    <m/>
    <m/>
    <n v="0.81299999999999994"/>
    <m/>
    <n v="1.321"/>
    <n v="0.60399999999999998"/>
    <n v="0.45700000000000002"/>
    <n v="0.16700000000000001"/>
    <n v="0.37"/>
    <m/>
    <x v="4"/>
  </r>
  <r>
    <x v="132"/>
    <x v="10"/>
    <n v="96"/>
    <n v="5.0439999999999996"/>
    <m/>
    <m/>
    <m/>
    <n v="0.54900000000000004"/>
    <m/>
    <n v="0.91"/>
    <n v="0.33100000000000002"/>
    <n v="0.38100000000000001"/>
    <n v="3.6999999999999998E-2"/>
    <n v="0.187"/>
    <m/>
    <x v="4"/>
  </r>
  <r>
    <x v="133"/>
    <x v="10"/>
    <n v="97"/>
    <n v="5.0110000000000001"/>
    <m/>
    <m/>
    <m/>
    <n v="1.0920000000000001"/>
    <m/>
    <n v="1.5129999999999999"/>
    <n v="0.81499999999999995"/>
    <n v="0.311"/>
    <n v="4.0000000000000001E-3"/>
    <n v="8.1000000000000003E-2"/>
    <m/>
    <x v="4"/>
  </r>
  <r>
    <x v="113"/>
    <x v="10"/>
    <n v="98"/>
    <n v="4.9960000000000004"/>
    <m/>
    <m/>
    <m/>
    <n v="0.61099999999999999"/>
    <m/>
    <n v="0.86799999999999999"/>
    <n v="0.48599999999999999"/>
    <n v="0.38100000000000001"/>
    <n v="0.04"/>
    <n v="0.245"/>
    <m/>
    <x v="4"/>
  </r>
  <r>
    <x v="150"/>
    <x v="10"/>
    <n v="99"/>
    <n v="4.944"/>
    <m/>
    <m/>
    <m/>
    <n v="0.56899999999999995"/>
    <m/>
    <n v="0.80800000000000005"/>
    <n v="0.23200000000000001"/>
    <n v="0.35199999999999998"/>
    <n v="0.09"/>
    <n v="0.154"/>
    <m/>
    <x v="4"/>
  </r>
  <r>
    <x v="120"/>
    <x v="10"/>
    <n v="100"/>
    <n v="4.9130000000000003"/>
    <m/>
    <m/>
    <m/>
    <n v="0.44600000000000001"/>
    <m/>
    <n v="1.226"/>
    <n v="0.67700000000000005"/>
    <n v="0.439"/>
    <n v="8.8999999999999996E-2"/>
    <n v="0.28499999999999998"/>
    <m/>
    <x v="4"/>
  </r>
  <r>
    <x v="81"/>
    <x v="10"/>
    <n v="101"/>
    <n v="4.9059999999999997"/>
    <m/>
    <m/>
    <m/>
    <n v="0.83699999999999997"/>
    <m/>
    <n v="1.2250000000000001"/>
    <n v="0.81499999999999995"/>
    <n v="0.38300000000000001"/>
    <n v="0.13"/>
    <n v="0.11"/>
    <m/>
    <x v="4"/>
  </r>
  <r>
    <x v="154"/>
    <x v="10"/>
    <n v="102"/>
    <n v="4.883"/>
    <m/>
    <m/>
    <m/>
    <n v="0.39300000000000002"/>
    <m/>
    <n v="0.437"/>
    <n v="0.39700000000000002"/>
    <n v="0.34899999999999998"/>
    <n v="8.2000000000000003E-2"/>
    <n v="0.17499999999999999"/>
    <m/>
    <x v="4"/>
  </r>
  <r>
    <x v="138"/>
    <x v="10"/>
    <n v="103"/>
    <n v="4.8120000000000003"/>
    <m/>
    <m/>
    <m/>
    <n v="0.67300000000000004"/>
    <m/>
    <n v="0.79900000000000004"/>
    <n v="0.50800000000000001"/>
    <n v="0.372"/>
    <n v="9.2999999999999999E-2"/>
    <n v="0.105"/>
    <m/>
    <x v="4"/>
  </r>
  <r>
    <x v="142"/>
    <x v="10"/>
    <n v="104"/>
    <n v="4.7990000000000004"/>
    <m/>
    <m/>
    <m/>
    <n v="1.0569999999999999"/>
    <m/>
    <n v="1.1830000000000001"/>
    <n v="0.57099999999999995"/>
    <n v="0.29499999999999998"/>
    <n v="5.5E-2"/>
    <n v="4.2999999999999997E-2"/>
    <m/>
    <x v="4"/>
  </r>
  <r>
    <x v="98"/>
    <x v="10"/>
    <n v="105"/>
    <n v="4.7960000000000003"/>
    <m/>
    <m/>
    <m/>
    <n v="0.76400000000000001"/>
    <m/>
    <n v="1.03"/>
    <n v="0.55100000000000005"/>
    <n v="0.54700000000000004"/>
    <n v="0.16400000000000001"/>
    <n v="0.26600000000000001"/>
    <m/>
    <x v="4"/>
  </r>
  <r>
    <x v="112"/>
    <x v="10"/>
    <n v="106"/>
    <n v="4.7220000000000004"/>
    <m/>
    <m/>
    <m/>
    <n v="0.96"/>
    <m/>
    <n v="1.351"/>
    <n v="0.46899999999999997"/>
    <n v="0.38900000000000001"/>
    <n v="5.5E-2"/>
    <n v="0.13"/>
    <m/>
    <x v="4"/>
  </r>
  <r>
    <x v="94"/>
    <x v="10"/>
    <n v="107"/>
    <n v="4.7190000000000003"/>
    <m/>
    <m/>
    <m/>
    <n v="0.94699999999999995"/>
    <m/>
    <n v="0.84799999999999998"/>
    <n v="0.874"/>
    <n v="0.38300000000000001"/>
    <n v="2.7E-2"/>
    <n v="0.17799999999999999"/>
    <m/>
    <x v="4"/>
  </r>
  <r>
    <x v="22"/>
    <x v="10"/>
    <n v="108"/>
    <n v="4.7069999999999999"/>
    <m/>
    <m/>
    <m/>
    <n v="0.96"/>
    <m/>
    <n v="1.427"/>
    <n v="0.80500000000000005"/>
    <n v="0.154"/>
    <n v="4.7E-2"/>
    <n v="6.4000000000000001E-2"/>
    <m/>
    <x v="4"/>
  </r>
  <r>
    <x v="144"/>
    <x v="10"/>
    <n v="109"/>
    <n v="4.7"/>
    <m/>
    <m/>
    <m/>
    <n v="0.57399999999999995"/>
    <m/>
    <n v="1.1220000000000001"/>
    <n v="0.63700000000000001"/>
    <n v="0.60899999999999999"/>
    <n v="6.2E-2"/>
    <n v="0.23200000000000001"/>
    <m/>
    <x v="4"/>
  </r>
  <r>
    <x v="107"/>
    <x v="10"/>
    <n v="110"/>
    <n v="4.6959999999999997"/>
    <m/>
    <m/>
    <m/>
    <n v="0.65700000000000003"/>
    <m/>
    <n v="1.2470000000000001"/>
    <n v="0.67200000000000004"/>
    <n v="0.22500000000000001"/>
    <n v="6.6000000000000003E-2"/>
    <n v="0.10299999999999999"/>
    <m/>
    <x v="4"/>
  </r>
  <r>
    <x v="141"/>
    <x v="10"/>
    <n v="111"/>
    <n v="4.681"/>
    <m/>
    <m/>
    <m/>
    <n v="0.45"/>
    <m/>
    <n v="1.1339999999999999"/>
    <n v="0.57099999999999995"/>
    <n v="0.29199999999999998"/>
    <n v="7.1999999999999995E-2"/>
    <n v="0.153"/>
    <m/>
    <x v="4"/>
  </r>
  <r>
    <x v="160"/>
    <x v="10"/>
    <n v="112"/>
    <n v="4.6680000000000001"/>
    <m/>
    <m/>
    <m/>
    <n v="0"/>
    <m/>
    <n v="0.69799999999999995"/>
    <n v="0.26800000000000002"/>
    <n v="0.55900000000000005"/>
    <n v="0.27"/>
    <n v="0.24299999999999999"/>
    <m/>
    <x v="4"/>
  </r>
  <r>
    <x v="161"/>
    <x v="10"/>
    <n v="113"/>
    <n v="4.6390000000000002"/>
    <m/>
    <m/>
    <m/>
    <n v="0.879"/>
    <m/>
    <n v="1.3129999999999999"/>
    <n v="0.47699999999999998"/>
    <n v="0.40100000000000002"/>
    <n v="5.6000000000000001E-2"/>
    <n v="7.0000000000000007E-2"/>
    <m/>
    <x v="4"/>
  </r>
  <r>
    <x v="143"/>
    <x v="10"/>
    <n v="114"/>
    <n v="4.6280000000000001"/>
    <m/>
    <m/>
    <m/>
    <n v="0.13800000000000001"/>
    <m/>
    <n v="0.77400000000000002"/>
    <n v="0.36599999999999999"/>
    <n v="0.318"/>
    <n v="0.10199999999999999"/>
    <n v="0.188"/>
    <m/>
    <x v="4"/>
  </r>
  <r>
    <x v="151"/>
    <x v="10"/>
    <n v="115"/>
    <n v="4.5869999999999997"/>
    <m/>
    <m/>
    <m/>
    <n v="0.33100000000000002"/>
    <m/>
    <n v="1.056"/>
    <n v="0.38"/>
    <n v="0.255"/>
    <n v="0.113"/>
    <n v="0.17699999999999999"/>
    <m/>
    <x v="4"/>
  </r>
  <r>
    <x v="126"/>
    <x v="10"/>
    <n v="116"/>
    <n v="4.5590000000000002"/>
    <m/>
    <m/>
    <m/>
    <n v="0.85"/>
    <m/>
    <n v="1.0549999999999999"/>
    <n v="0.81499999999999995"/>
    <n v="0.28299999999999997"/>
    <n v="6.4000000000000001E-2"/>
    <n v="9.5000000000000001E-2"/>
    <m/>
    <x v="4"/>
  </r>
  <r>
    <x v="109"/>
    <x v="10"/>
    <n v="117"/>
    <n v="4.548"/>
    <m/>
    <m/>
    <m/>
    <n v="1.1000000000000001"/>
    <m/>
    <n v="0.84199999999999997"/>
    <n v="0.78500000000000003"/>
    <n v="0.30499999999999999"/>
    <n v="0.125"/>
    <n v="0.27"/>
    <m/>
    <x v="4"/>
  </r>
  <r>
    <x v="149"/>
    <x v="10"/>
    <n v="118"/>
    <n v="4.5339999999999998"/>
    <m/>
    <m/>
    <m/>
    <n v="0.38"/>
    <m/>
    <n v="0.82899999999999996"/>
    <n v="0.375"/>
    <n v="0.33200000000000002"/>
    <n v="8.5999999999999993E-2"/>
    <n v="0.20699999999999999"/>
    <m/>
    <x v="4"/>
  </r>
  <r>
    <x v="129"/>
    <x v="10"/>
    <n v="119"/>
    <n v="4.5190000000000001"/>
    <m/>
    <m/>
    <m/>
    <n v="0.88600000000000001"/>
    <m/>
    <n v="0.66600000000000004"/>
    <n v="0.752"/>
    <n v="0.34599999999999997"/>
    <n v="0.16400000000000001"/>
    <n v="4.2999999999999997E-2"/>
    <m/>
    <x v="4"/>
  </r>
  <r>
    <x v="168"/>
    <x v="10"/>
    <n v="120"/>
    <n v="4.516"/>
    <m/>
    <m/>
    <m/>
    <n v="0.308"/>
    <m/>
    <n v="0.93899999999999995"/>
    <n v="0.42799999999999999"/>
    <n v="0.38200000000000001"/>
    <n v="0.16700000000000001"/>
    <n v="0.26900000000000002"/>
    <m/>
    <x v="4"/>
  </r>
  <r>
    <x v="124"/>
    <x v="10"/>
    <n v="121"/>
    <n v="4.5090000000000003"/>
    <m/>
    <m/>
    <m/>
    <n v="0.51200000000000001"/>
    <m/>
    <n v="0.98299999999999998"/>
    <n v="0.58099999999999996"/>
    <n v="0.43099999999999999"/>
    <n v="5.2999999999999999E-2"/>
    <n v="0.372"/>
    <m/>
    <x v="4"/>
  </r>
  <r>
    <x v="123"/>
    <x v="10"/>
    <n v="122"/>
    <n v="4.49"/>
    <m/>
    <m/>
    <m/>
    <n v="0.56999999999999995"/>
    <m/>
    <n v="1.167"/>
    <n v="0.48899999999999999"/>
    <n v="6.6000000000000003E-2"/>
    <n v="8.7999999999999995E-2"/>
    <n v="0.106"/>
    <m/>
    <x v="4"/>
  </r>
  <r>
    <x v="93"/>
    <x v="10"/>
    <n v="123"/>
    <n v="4.4660000000000002"/>
    <m/>
    <m/>
    <m/>
    <n v="0.20399999999999999"/>
    <m/>
    <n v="0.98599999999999999"/>
    <n v="0.39"/>
    <n v="0.49399999999999999"/>
    <n v="0.13800000000000001"/>
    <n v="0.19700000000000001"/>
    <m/>
    <x v="4"/>
  </r>
  <r>
    <x v="106"/>
    <x v="10"/>
    <n v="124"/>
    <n v="4.4610000000000003"/>
    <m/>
    <m/>
    <m/>
    <n v="0.92100000000000004"/>
    <m/>
    <n v="1"/>
    <n v="0.81499999999999995"/>
    <n v="0.16700000000000001"/>
    <n v="5.5E-2"/>
    <n v="5.8999999999999997E-2"/>
    <m/>
    <x v="4"/>
  </r>
  <r>
    <x v="108"/>
    <x v="10"/>
    <n v="125"/>
    <n v="4.4560000000000004"/>
    <m/>
    <m/>
    <m/>
    <n v="0.56200000000000006"/>
    <m/>
    <n v="0.92800000000000005"/>
    <n v="0.72299999999999998"/>
    <n v="0.52700000000000002"/>
    <n v="0.14299999999999999"/>
    <n v="0.16600000000000001"/>
    <m/>
    <x v="4"/>
  </r>
  <r>
    <x v="111"/>
    <x v="10"/>
    <n v="126"/>
    <n v="4.4370000000000003"/>
    <m/>
    <m/>
    <m/>
    <n v="1.0429999999999999"/>
    <m/>
    <n v="0.98"/>
    <n v="0.57399999999999995"/>
    <n v="0.24099999999999999"/>
    <n v="8.8999999999999996E-2"/>
    <n v="0.14799999999999999"/>
    <m/>
    <x v="4"/>
  </r>
  <r>
    <x v="119"/>
    <x v="10"/>
    <n v="127"/>
    <n v="4.4180000000000001"/>
    <m/>
    <m/>
    <m/>
    <n v="9.4E-2"/>
    <m/>
    <n v="1.125"/>
    <n v="0.35699999999999998"/>
    <n v="0.26900000000000002"/>
    <n v="5.2999999999999999E-2"/>
    <n v="0.21199999999999999"/>
    <m/>
    <x v="4"/>
  </r>
  <r>
    <x v="137"/>
    <x v="10"/>
    <n v="128"/>
    <n v="4.3899999999999997"/>
    <m/>
    <m/>
    <m/>
    <n v="0.38500000000000001"/>
    <m/>
    <n v="1.105"/>
    <n v="0.308"/>
    <n v="0.32700000000000001"/>
    <n v="5.1999999999999998E-2"/>
    <n v="0.153"/>
    <m/>
    <x v="4"/>
  </r>
  <r>
    <x v="122"/>
    <x v="10"/>
    <n v="129"/>
    <n v="4.3739999999999997"/>
    <m/>
    <m/>
    <m/>
    <n v="0.26800000000000002"/>
    <m/>
    <n v="0.84099999999999997"/>
    <n v="0.24199999999999999"/>
    <n v="0.309"/>
    <n v="4.4999999999999998E-2"/>
    <n v="0.252"/>
    <m/>
    <x v="4"/>
  </r>
  <r>
    <x v="131"/>
    <x v="10"/>
    <n v="130"/>
    <n v="4.3659999999999997"/>
    <m/>
    <m/>
    <m/>
    <n v="0.94899999999999995"/>
    <m/>
    <n v="1.2649999999999999"/>
    <n v="0.83099999999999996"/>
    <n v="0.47"/>
    <n v="4.7E-2"/>
    <n v="0.24399999999999999"/>
    <m/>
    <x v="4"/>
  </r>
  <r>
    <x v="128"/>
    <x v="10"/>
    <n v="131"/>
    <n v="4.3600000000000003"/>
    <m/>
    <m/>
    <m/>
    <n v="0.71"/>
    <m/>
    <n v="1.181"/>
    <n v="0.55500000000000005"/>
    <n v="0.52500000000000002"/>
    <n v="0.17199999999999999"/>
    <n v="0.56599999999999995"/>
    <m/>
    <x v="4"/>
  </r>
  <r>
    <x v="148"/>
    <x v="10"/>
    <n v="132"/>
    <n v="4.3499999999999996"/>
    <m/>
    <m/>
    <m/>
    <n v="0.35"/>
    <m/>
    <n v="0.76600000000000001"/>
    <n v="0.192"/>
    <n v="0.17399999999999999"/>
    <n v="7.8E-2"/>
    <n v="0.19800000000000001"/>
    <m/>
    <x v="4"/>
  </r>
  <r>
    <x v="110"/>
    <x v="10"/>
    <n v="133"/>
    <n v="4.3319999999999999"/>
    <m/>
    <m/>
    <m/>
    <n v="0.82"/>
    <m/>
    <n v="1.39"/>
    <n v="0.73899999999999999"/>
    <n v="0.17799999999999999"/>
    <n v="0.01"/>
    <n v="0.187"/>
    <m/>
    <x v="4"/>
  </r>
  <r>
    <x v="121"/>
    <x v="10"/>
    <n v="134"/>
    <n v="4.2859999999999996"/>
    <m/>
    <m/>
    <m/>
    <n v="0.33600000000000002"/>
    <m/>
    <n v="1.0329999999999999"/>
    <n v="0.53200000000000003"/>
    <n v="0.34399999999999997"/>
    <n v="0.1"/>
    <n v="0.20899999999999999"/>
    <m/>
    <x v="4"/>
  </r>
  <r>
    <x v="100"/>
    <x v="10"/>
    <n v="135"/>
    <n v="4.2119999999999997"/>
    <m/>
    <m/>
    <m/>
    <n v="0.81100000000000005"/>
    <m/>
    <n v="1.149"/>
    <n v="0"/>
    <n v="0.313"/>
    <n v="0.13500000000000001"/>
    <n v="7.3999999999999996E-2"/>
    <m/>
    <x v="4"/>
  </r>
  <r>
    <x v="140"/>
    <x v="10"/>
    <n v="136"/>
    <n v="4.1890000000000001"/>
    <m/>
    <m/>
    <m/>
    <n v="0.33200000000000002"/>
    <m/>
    <n v="1.069"/>
    <n v="0.443"/>
    <n v="0.35599999999999998"/>
    <n v="0.06"/>
    <n v="0.252"/>
    <m/>
    <x v="4"/>
  </r>
  <r>
    <x v="134"/>
    <x v="10"/>
    <n v="137"/>
    <n v="4.1660000000000004"/>
    <m/>
    <m/>
    <m/>
    <n v="0.91300000000000003"/>
    <m/>
    <n v="1.0389999999999999"/>
    <n v="0.64400000000000002"/>
    <n v="0.24099999999999999"/>
    <n v="6.7000000000000004E-2"/>
    <n v="7.5999999999999998E-2"/>
    <m/>
    <x v="4"/>
  </r>
  <r>
    <x v="84"/>
    <x v="10"/>
    <n v="138"/>
    <n v="4.1070000000000002"/>
    <m/>
    <m/>
    <m/>
    <n v="0.57799999999999996"/>
    <m/>
    <n v="1.0580000000000001"/>
    <n v="0.42599999999999999"/>
    <n v="0.43099999999999999"/>
    <n v="8.6999999999999994E-2"/>
    <n v="0.247"/>
    <m/>
    <x v="4"/>
  </r>
  <r>
    <x v="157"/>
    <x v="10"/>
    <n v="139"/>
    <n v="4.085"/>
    <m/>
    <m/>
    <m/>
    <n v="0.27500000000000002"/>
    <m/>
    <n v="0.57199999999999995"/>
    <n v="0.41"/>
    <n v="0.29299999999999998"/>
    <n v="8.5000000000000006E-2"/>
    <n v="0.17699999999999999"/>
    <m/>
    <x v="4"/>
  </r>
  <r>
    <x v="116"/>
    <x v="10"/>
    <n v="140"/>
    <n v="4.0149999999999997"/>
    <m/>
    <m/>
    <m/>
    <n v="0.755"/>
    <m/>
    <n v="0.76500000000000001"/>
    <n v="0.58799999999999997"/>
    <n v="0.498"/>
    <n v="8.5000000000000006E-2"/>
    <n v="0.2"/>
    <m/>
    <x v="4"/>
  </r>
  <r>
    <x v="115"/>
    <x v="10"/>
    <n v="141"/>
    <n v="3.9750000000000001"/>
    <m/>
    <m/>
    <m/>
    <n v="7.2999999999999995E-2"/>
    <m/>
    <n v="0.92200000000000004"/>
    <n v="0.443"/>
    <n v="0.37"/>
    <n v="3.3000000000000002E-2"/>
    <n v="0.23300000000000001"/>
    <m/>
    <x v="4"/>
  </r>
  <r>
    <x v="139"/>
    <x v="10"/>
    <n v="142"/>
    <n v="3.9729999999999999"/>
    <m/>
    <m/>
    <m/>
    <n v="0.27400000000000002"/>
    <m/>
    <n v="0.75700000000000001"/>
    <n v="0.505"/>
    <n v="0.14199999999999999"/>
    <n v="7.8E-2"/>
    <n v="0.27500000000000002"/>
    <m/>
    <x v="4"/>
  </r>
  <r>
    <x v="146"/>
    <x v="10"/>
    <n v="143"/>
    <n v="3.9329999999999998"/>
    <m/>
    <m/>
    <m/>
    <n v="0.27400000000000002"/>
    <m/>
    <n v="0.91600000000000004"/>
    <n v="0.55500000000000005"/>
    <n v="0.14799999999999999"/>
    <n v="4.1000000000000002E-2"/>
    <n v="0.16900000000000001"/>
    <m/>
    <x v="4"/>
  </r>
  <r>
    <x v="96"/>
    <x v="10"/>
    <n v="144"/>
    <n v="3.802"/>
    <m/>
    <m/>
    <m/>
    <n v="0.48899999999999999"/>
    <m/>
    <n v="1.169"/>
    <n v="0.16800000000000001"/>
    <n v="0.35899999999999999"/>
    <n v="9.2999999999999999E-2"/>
    <n v="0.107"/>
    <m/>
    <x v="4"/>
  </r>
  <r>
    <x v="156"/>
    <x v="10"/>
    <n v="145"/>
    <n v="3.7749999999999999"/>
    <m/>
    <m/>
    <m/>
    <n v="4.5999999999999999E-2"/>
    <m/>
    <n v="0.44700000000000001"/>
    <n v="0.38"/>
    <n v="0.22"/>
    <n v="0.18"/>
    <n v="0.17599999999999999"/>
    <m/>
    <x v="4"/>
  </r>
  <r>
    <x v="114"/>
    <x v="10"/>
    <n v="146"/>
    <n v="3.6629999999999998"/>
    <m/>
    <m/>
    <m/>
    <n v="0.36599999999999999"/>
    <m/>
    <n v="1.1140000000000001"/>
    <n v="0.433"/>
    <n v="0.36099999999999999"/>
    <n v="8.8999999999999996E-2"/>
    <n v="0.151"/>
    <m/>
    <x v="4"/>
  </r>
  <r>
    <x v="118"/>
    <x v="10"/>
    <n v="147"/>
    <n v="3.597"/>
    <m/>
    <m/>
    <m/>
    <n v="0.32300000000000001"/>
    <m/>
    <n v="0.68799999999999994"/>
    <n v="0.44900000000000001"/>
    <n v="2.5999999999999999E-2"/>
    <n v="0.11"/>
    <n v="0.41899999999999998"/>
    <m/>
    <x v="4"/>
  </r>
  <r>
    <x v="127"/>
    <x v="10"/>
    <n v="148"/>
    <n v="3.488"/>
    <m/>
    <m/>
    <m/>
    <n v="1.0409999999999999"/>
    <m/>
    <n v="1.145"/>
    <n v="0.53800000000000003"/>
    <n v="0.45500000000000002"/>
    <n v="0.1"/>
    <n v="2.5000000000000001E-2"/>
    <m/>
    <x v="4"/>
  </r>
  <r>
    <x v="155"/>
    <x v="10"/>
    <n v="149"/>
    <n v="3.4620000000000002"/>
    <m/>
    <m/>
    <m/>
    <n v="0.61899999999999999"/>
    <m/>
    <n v="0.378"/>
    <n v="0.44"/>
    <n v="1.2999999999999999E-2"/>
    <n v="0.14099999999999999"/>
    <n v="0.33100000000000002"/>
    <m/>
    <x v="4"/>
  </r>
  <r>
    <x v="130"/>
    <x v="10"/>
    <n v="150"/>
    <n v="3.41"/>
    <m/>
    <m/>
    <m/>
    <n v="0.191"/>
    <m/>
    <n v="0.56000000000000005"/>
    <n v="0.495"/>
    <n v="0.443"/>
    <n v="8.8999999999999996E-2"/>
    <n v="0.218"/>
    <m/>
    <x v="4"/>
  </r>
  <r>
    <x v="135"/>
    <x v="10"/>
    <n v="151"/>
    <n v="3.38"/>
    <m/>
    <m/>
    <m/>
    <n v="0.28699999999999998"/>
    <m/>
    <n v="1.163"/>
    <n v="0.46300000000000002"/>
    <n v="0.14299999999999999"/>
    <n v="7.6999999999999999E-2"/>
    <n v="0.108"/>
    <m/>
    <x v="4"/>
  </r>
  <r>
    <x v="153"/>
    <x v="10"/>
    <n v="152"/>
    <n v="3.3340000000000001"/>
    <m/>
    <m/>
    <m/>
    <n v="0.35899999999999999"/>
    <m/>
    <n v="0.71099999999999997"/>
    <n v="0.61399999999999999"/>
    <n v="0.55500000000000005"/>
    <n v="0.41099999999999998"/>
    <n v="0.217"/>
    <m/>
    <x v="4"/>
  </r>
  <r>
    <x v="145"/>
    <x v="10"/>
    <n v="153"/>
    <n v="3.2309999999999999"/>
    <m/>
    <m/>
    <m/>
    <n v="0.47599999999999998"/>
    <m/>
    <n v="0.88500000000000001"/>
    <n v="0.499"/>
    <n v="0.41699999999999998"/>
    <n v="0.14699999999999999"/>
    <n v="0.27600000000000002"/>
    <m/>
    <x v="4"/>
  </r>
  <r>
    <x v="152"/>
    <x v="10"/>
    <n v="154"/>
    <n v="3.2029999999999998"/>
    <m/>
    <m/>
    <m/>
    <n v="0.35"/>
    <m/>
    <n v="0.51700000000000002"/>
    <n v="0.36099999999999999"/>
    <n v="0"/>
    <n v="2.5000000000000001E-2"/>
    <n v="0.158"/>
    <m/>
    <x v="4"/>
  </r>
  <r>
    <x v="147"/>
    <x v="10"/>
    <n v="155"/>
    <n v="3.0830000000000002"/>
    <m/>
    <m/>
    <m/>
    <n v="2.5999999999999999E-2"/>
    <m/>
    <n v="0"/>
    <n v="0.105"/>
    <n v="0.22500000000000001"/>
    <n v="3.5000000000000003E-2"/>
    <n v="0.23499999999999999"/>
    <m/>
    <x v="4"/>
  </r>
  <r>
    <x v="162"/>
    <x v="10"/>
    <n v="156"/>
    <n v="2.8530000000000002"/>
    <m/>
    <m/>
    <m/>
    <n v="0.30599999999999999"/>
    <m/>
    <n v="0.57499999999999996"/>
    <n v="0.29499999999999998"/>
    <n v="0.01"/>
    <n v="9.0999999999999998E-2"/>
    <n v="0.20200000000000001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4D263-7C7A-4F61-BB13-5412E9090D3B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77:F78" firstHeaderRow="0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g of Family" fld="8" subtotal="average" baseField="0" baseItem="0"/>
    <dataField name="Min of family" fld="8" subtotal="min" baseField="0" baseItem="1"/>
    <dataField name="Max of family" fld="8" subtotal="max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57DE3-88A7-4535-8EDE-3F816C09B89B}" name="PivotTable12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ountry">
  <location ref="D152:Q321" firstHeaderRow="0" firstDataRow="1" firstDataCol="1"/>
  <pivotFields count="16">
    <pivotField axis="axisRow" dataField="1" showAll="0">
      <items count="170">
        <item x="152"/>
        <item x="94"/>
        <item x="67"/>
        <item x="136"/>
        <item x="29"/>
        <item x="126"/>
        <item x="9"/>
        <item x="12"/>
        <item x="79"/>
        <item x="48"/>
        <item x="108"/>
        <item x="58"/>
        <item x="18"/>
        <item x="159"/>
        <item x="154"/>
        <item x="78"/>
        <item x="50"/>
        <item x="95"/>
        <item x="127"/>
        <item x="15"/>
        <item x="133"/>
        <item x="151"/>
        <item x="156"/>
        <item x="144"/>
        <item x="132"/>
        <item x="4"/>
        <item x="147"/>
        <item x="148"/>
        <item x="26"/>
        <item x="83"/>
        <item x="32"/>
        <item x="139"/>
        <item x="138"/>
        <item x="119"/>
        <item x="11"/>
        <item x="61"/>
        <item x="66"/>
        <item x="30"/>
        <item x="2"/>
        <item x="125"/>
        <item x="97"/>
        <item x="47"/>
        <item x="134"/>
        <item x="41"/>
        <item x="72"/>
        <item x="121"/>
        <item x="5"/>
        <item x="28"/>
        <item x="142"/>
        <item x="168"/>
        <item x="129"/>
        <item x="25"/>
        <item x="113"/>
        <item x="101"/>
        <item x="42"/>
        <item x="149"/>
        <item x="118"/>
        <item x="104"/>
        <item x="71"/>
        <item x="164"/>
        <item x="103"/>
        <item x="1"/>
        <item x="116"/>
        <item x="73"/>
        <item x="109"/>
        <item x="111"/>
        <item x="17"/>
        <item x="10"/>
        <item x="49"/>
        <item x="150"/>
        <item x="64"/>
        <item x="45"/>
        <item x="81"/>
        <item x="53"/>
        <item x="124"/>
        <item x="68"/>
        <item x="38"/>
        <item x="76"/>
        <item x="98"/>
        <item x="88"/>
        <item x="102"/>
        <item x="96"/>
        <item x="115"/>
        <item x="62"/>
        <item x="55"/>
        <item x="16"/>
        <item x="92"/>
        <item x="146"/>
        <item x="130"/>
        <item x="60"/>
        <item x="137"/>
        <item x="36"/>
        <item x="123"/>
        <item x="70"/>
        <item x="13"/>
        <item x="51"/>
        <item x="99"/>
        <item x="82"/>
        <item x="91"/>
        <item x="93"/>
        <item x="128"/>
        <item x="161"/>
        <item x="120"/>
        <item x="6"/>
        <item x="8"/>
        <item x="56"/>
        <item x="143"/>
        <item x="77"/>
        <item x="65"/>
        <item x="167"/>
        <item x="166"/>
        <item x="3"/>
        <item x="21"/>
        <item x="80"/>
        <item x="107"/>
        <item x="24"/>
        <item x="52"/>
        <item x="57"/>
        <item x="89"/>
        <item x="59"/>
        <item x="87"/>
        <item x="158"/>
        <item x="27"/>
        <item x="85"/>
        <item x="63"/>
        <item x="153"/>
        <item x="34"/>
        <item x="141"/>
        <item x="86"/>
        <item x="122"/>
        <item x="23"/>
        <item x="44"/>
        <item x="54"/>
        <item x="160"/>
        <item x="90"/>
        <item x="112"/>
        <item x="46"/>
        <item x="162"/>
        <item x="35"/>
        <item x="131"/>
        <item x="117"/>
        <item x="39"/>
        <item x="100"/>
        <item x="7"/>
        <item x="0"/>
        <item x="155"/>
        <item x="37"/>
        <item x="163"/>
        <item x="105"/>
        <item x="145"/>
        <item x="33"/>
        <item x="157"/>
        <item x="165"/>
        <item x="40"/>
        <item x="106"/>
        <item x="75"/>
        <item x="69"/>
        <item x="140"/>
        <item x="110"/>
        <item x="19"/>
        <item x="20"/>
        <item x="14"/>
        <item x="31"/>
        <item x="43"/>
        <item x="22"/>
        <item x="74"/>
        <item x="135"/>
        <item x="84"/>
        <item x="114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0"/>
  </rowFields>
  <rowItems count="1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# Surveys" fld="0" subtotal="count" baseField="0" baseItem="0"/>
    <dataField name="Avg of Hap Rank" fld="2" subtotal="average" baseField="0" baseItem="0"/>
    <dataField name="Avg of Hap Score" fld="3" subtotal="average" baseField="0" baseItem="0"/>
    <dataField name="Avg of Std Err" fld="4" subtotal="average" baseField="0" baseItem="0"/>
    <dataField name="Min of L CI" fld="5" subtotal="min" baseField="0" baseItem="0"/>
    <dataField name="Max of U CI" fld="6" subtotal="max" baseField="0" baseItem="0"/>
    <dataField name="Avg of Eco" fld="7" subtotal="average" baseField="0" baseItem="0"/>
    <dataField name="Avg of Fam" fld="8" subtotal="average" baseField="0" baseItem="0"/>
    <dataField name="Avg of Soc Supp" fld="9" subtotal="average" baseField="0" baseItem="0"/>
    <dataField name="Avg of Health" fld="10" subtotal="average" baseField="0" baseItem="0"/>
    <dataField name="Avg of Freedom" fld="11" subtotal="average" baseField="0" baseItem="0"/>
    <dataField name="Avg of Trust" fld="12" subtotal="average" baseField="0" baseItem="0"/>
    <dataField name="Avg of Gen" fld="1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C95A0-C5E3-46CB-A07F-FFEE42183888}" name="PivotTable14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Region">
  <location ref="D522:O533" firstHeaderRow="0" firstDataRow="1" firstDataCol="1"/>
  <pivotFields count="16">
    <pivotField showAll="0"/>
    <pivotField axis="axisRow" showAll="0">
      <items count="12">
        <item x="2"/>
        <item x="6"/>
        <item x="7"/>
        <item x="4"/>
        <item x="3"/>
        <item x="1"/>
        <item x="5"/>
        <item x="9"/>
        <item x="8"/>
        <item x="0"/>
        <item x="10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Avg of Hap Score" fld="3" subtotal="average" baseField="1" baseItem="0"/>
    <dataField name="Avg of Std Err" fld="4" subtotal="average" baseField="1" baseItem="0"/>
    <dataField name="Min of L CI" fld="5" subtotal="min" baseField="1" baseItem="0"/>
    <dataField name="Max of U CI" fld="6" subtotal="max" baseField="1" baseItem="0"/>
    <dataField name="Avg of Eco" fld="7" subtotal="average" baseField="1" baseItem="0"/>
    <dataField name="Avg of Fam" fld="8" subtotal="average" baseField="1" baseItem="0"/>
    <dataField name="Avg of Soc Sup" fld="9" subtotal="average" baseField="1" baseItem="0"/>
    <dataField name="Avg of Health" fld="10" subtotal="average" baseField="1" baseItem="0"/>
    <dataField name="Avg of Fre" fld="11" subtotal="average" baseField="1" baseItem="0"/>
    <dataField name="Avg of Trust" fld="12" subtotal="average" baseField="1" baseItem="0"/>
    <dataField name="Avg of Gen" fld="1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E5CEA-C8E9-4FA8-B036-DF03E8B65D28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28:F129" firstHeaderRow="0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g of Generosity" fld="13" subtotal="average" baseField="0" baseItem="0"/>
    <dataField name="Min of Generosity" fld="13" subtotal="min" baseField="0" baseItem="1"/>
    <dataField name="Max of Generosity" fld="13" subtotal="max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C702D-2F74-4FCD-909C-55FB1F227E0A}" name="PivotTable13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Year">
  <location ref="D572:P577" firstHeaderRow="0" firstDataRow="1" firstDataCol="1"/>
  <pivotFields count="16"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# Countries" fld="0" subtotal="count" baseField="0" baseItem="0"/>
    <dataField name="Avg of Hap Score" fld="3" subtotal="average" baseField="15" baseItem="0"/>
    <dataField name="Avg of Std Err" fld="4" subtotal="average" baseField="15" baseItem="0"/>
    <dataField name="Min of L CI" fld="5" subtotal="min" baseField="15" baseItem="0"/>
    <dataField name="Max of U CI" fld="6" subtotal="max" baseField="15" baseItem="0"/>
    <dataField name="Avg of Eco" fld="7" subtotal="average" baseField="15" baseItem="0"/>
    <dataField name="Avg of Fam" fld="8" subtotal="average" baseField="15" baseItem="0"/>
    <dataField name="Avg of Soc Sup" fld="9" subtotal="average" baseField="15" baseItem="0"/>
    <dataField name="Avg of Health" fld="10" subtotal="average" baseField="15" baseItem="0"/>
    <dataField name="Avg of Fre" fld="11" subtotal="average" baseField="15" baseItem="0"/>
    <dataField name="Avg of Trust" fld="12" subtotal="average" baseField="15" baseItem="0"/>
    <dataField name="Avg of Gen" fld="13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F9B2B3-B541-4B0A-B6B9-84F81E6A2715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68:F69" firstHeaderRow="0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g of Economy" fld="7" subtotal="average" baseField="0" baseItem="0"/>
    <dataField name="Min of Eco" fld="7" subtotal="min" baseField="0" baseItem="1"/>
    <dataField name="Max of Eco" fld="7" subtotal="max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3B9F5-BCEF-499D-9F83-3D191B8E3B2D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3:F44" firstHeaderRow="0" firstDataRow="1" firstDataCol="0"/>
  <pivotFields count="16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g Std Error" fld="4" subtotal="average" baseField="0" baseItem="0"/>
    <dataField name="Min Std error" fld="4" subtotal="min" baseField="0" baseItem="1"/>
    <dataField name="Max std error" fld="4" subtotal="max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56321A-7999-441D-80D9-8DEDECF7E994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18:F119" firstHeaderRow="0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g of Trust" fld="12" subtotal="average" baseField="0" baseItem="0"/>
    <dataField name="Min of trust" fld="12" subtotal="min" baseField="0" baseItem="1"/>
    <dataField name="Max of trust" fld="12" subtotal="max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4E21A2-CBF1-42B9-82B1-9B505F6217B0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88:F89" firstHeaderRow="0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g of social support" fld="9" subtotal="average" baseField="0" baseItem="0"/>
    <dataField name="Min of social support" fld="9" subtotal="min" baseField="0" baseItem="1"/>
    <dataField name="Max of social support" fld="9" subtotal="max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AA437-7AAD-4DE3-A7D6-65FDA450E228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56:F57" firstHeaderRow="0" firstDataRow="1" firstDataCol="0"/>
  <pivotFields count="16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g of upper CI" fld="6" subtotal="average" baseField="0" baseItem="0"/>
    <dataField name="Min of U CI" fld="6" subtotal="min" baseField="0" baseItem="1"/>
    <dataField name="Max of U CI" fld="6" subtotal="max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49DD6-265C-4873-BC41-5716A022F9B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8:F29" firstHeaderRow="0" firstDataRow="1" firstDataCol="0"/>
  <pivotFields count="16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g Hap Score" fld="3" subtotal="average" baseField="0" baseItem="0"/>
    <dataField name="Min hap score" fld="3" subtotal="min" baseField="0" baseItem="1"/>
    <dataField name="Max hap score" fld="3" subtotal="max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0CFCE-B8F1-4626-82D2-A32F35626357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53:F54" firstHeaderRow="0" firstDataRow="1" firstDataCol="0"/>
  <pivotFields count="16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g of lower confidence interval" fld="5" subtotal="average" baseField="0" baseItem="0"/>
    <dataField name="Min of L CI" fld="5" subtotal="min" baseField="0" baseItem="1"/>
    <dataField name="Max of L CI" fld="5" subtotal="max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18A52-D213-40E1-9491-7F8FC4565993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98:F99" firstHeaderRow="0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g of life exp" fld="10" subtotal="average" baseField="0" baseItem="0"/>
    <dataField name="Min of LE" fld="10" subtotal="min" baseField="0" baseItem="1"/>
    <dataField name="Max of LE" fld="10" subtotal="max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7EE0F-9317-41B0-88EA-4CD0E05FF681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08:F109" firstHeaderRow="0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g of freedom" fld="11" subtotal="average" baseField="0" baseItem="0"/>
    <dataField name="Min of Freedom" fld="11" subtotal="min" baseField="0" baseItem="1"/>
    <dataField name="Max of Freedom" fld="11" subtotal="max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BB8A94-0836-4881-B9F3-C0524B7CD193}" name="Data" displayName="Data" ref="C3:R785" totalsRowShown="0">
  <autoFilter ref="C3:R785" xr:uid="{86BB8A94-0836-4881-B9F3-C0524B7CD193}"/>
  <tableColumns count="16">
    <tableColumn id="1" xr3:uid="{0C3D26CC-59ED-4A2F-9E5F-DEBEF955CF68}" name="Country"/>
    <tableColumn id="2" xr3:uid="{283FD9CB-9371-4236-B473-7AC5D6B142C0}" name="Region"/>
    <tableColumn id="3" xr3:uid="{3777F60F-B6BF-4F0D-91EE-CF96508C2D18}" name="Happiness Rank"/>
    <tableColumn id="4" xr3:uid="{F07B62CB-4521-4557-A0F2-7EBCB5C09B01}" name="Happiness Score"/>
    <tableColumn id="5" xr3:uid="{4F87AA7A-0A97-4FD5-BCF4-B3C0199DF554}" name="Standard Error"/>
    <tableColumn id="6" xr3:uid="{4E3A7D08-D24C-4391-84E2-AA282794C4EF}" name="Lower Confidence Interval"/>
    <tableColumn id="7" xr3:uid="{D5AE5087-5574-49FE-BB65-9539E58CC2AE}" name="Upper Confidence Interval"/>
    <tableColumn id="8" xr3:uid="{AEBAFDE6-98CE-4630-B026-7031BA1E4D47}" name="Economy (GDP per Capita)"/>
    <tableColumn id="9" xr3:uid="{21BA5BEE-9844-4285-9A80-4D273995EEA7}" name="Family"/>
    <tableColumn id="10" xr3:uid="{79B5E32E-0474-4F0E-BE00-09727CB527D5}" name="Social Support"/>
    <tableColumn id="11" xr3:uid="{E7EA9E1C-8FEB-4D00-B8DF-B714E4945B4B}" name="Health (Life Expectancy)"/>
    <tableColumn id="12" xr3:uid="{36311DC8-2404-450E-AE3B-4EEFC6A3D570}" name="Freedom"/>
    <tableColumn id="13" xr3:uid="{DC31A13C-F01A-496B-BA49-A059FAA656F8}" name="Trust (Government Corruption)"/>
    <tableColumn id="14" xr3:uid="{33D75117-E1D4-4981-AF19-F002AA1EC1F3}" name="Generosity"/>
    <tableColumn id="15" xr3:uid="{5782DBA8-696F-440C-B5A9-3EF61EE81421}" name="Dystopia Residual"/>
    <tableColumn id="16" xr3:uid="{D6B47045-2CF4-4925-B5A7-2487ABBC9B30}" name="Ye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1A30A8-A46B-4769-B036-2894DCC7BC62}" name="Table24" displayName="Table24" ref="D324:Q493" totalsRowShown="0">
  <autoFilter ref="D324:Q493" xr:uid="{3D1A30A8-A46B-4769-B036-2894DCC7BC62}">
    <filterColumn colId="0">
      <filters>
        <filter val="Burundi"/>
        <filter val="Central African Republic"/>
        <filter val="Denmark"/>
        <filter val="Finland"/>
        <filter val="Iceland"/>
        <filter val="Norway"/>
        <filter val="Rwanda"/>
        <filter val="South Sudan"/>
        <filter val="Switzerland"/>
        <filter val="Syria"/>
      </filters>
    </filterColumn>
  </autoFilter>
  <sortState xmlns:xlrd2="http://schemas.microsoft.com/office/spreadsheetml/2017/richdata2" ref="D347:Q470">
    <sortCondition ref="D324:D493"/>
  </sortState>
  <tableColumns count="14">
    <tableColumn id="1" xr3:uid="{DA6F3DDB-50B9-4357-B08D-99C33AA279AD}" name="Country"/>
    <tableColumn id="14" xr3:uid="{479BEDB6-4320-4F8F-9348-049338E5D9D5}" name="# Surveys"/>
    <tableColumn id="2" xr3:uid="{B99BBDC6-1C25-4ADE-919E-90E9FC63B597}" name="Avg of Hap Rank"/>
    <tableColumn id="3" xr3:uid="{55E8FEED-53D2-4C11-AFCB-F7DB333C215D}" name="Avg of Hap Score"/>
    <tableColumn id="4" xr3:uid="{B583B893-FA3B-4237-84EF-4FE88EB62E7E}" name="Avg of Std Err"/>
    <tableColumn id="5" xr3:uid="{57CE32A7-2A6D-4194-B031-749AF7AC3C9C}" name="Min of L CI"/>
    <tableColumn id="6" xr3:uid="{ECE6C5D2-4049-493D-91DD-A183BFAD0A24}" name="Max of U CI"/>
    <tableColumn id="7" xr3:uid="{79364853-FE76-42AD-BD5C-D8670950C2EA}" name="Avg of Eco"/>
    <tableColumn id="8" xr3:uid="{6E63D431-1634-4EF0-AF49-CA67914F681C}" name="Avg of Fam"/>
    <tableColumn id="9" xr3:uid="{88376380-A9CA-470D-A2BE-227BBA3608C1}" name="Avg of Soc Supp"/>
    <tableColumn id="10" xr3:uid="{396DC23E-8B9A-4B80-BDC6-CA8251821BC6}" name="Avg of Health"/>
    <tableColumn id="11" xr3:uid="{A68F94D5-5A6B-444C-BA56-15268E5B5BBA}" name="Avg of Freedom"/>
    <tableColumn id="12" xr3:uid="{95A7084D-FF83-465B-BC47-ABD772B58F86}" name="Avg of Trust"/>
    <tableColumn id="13" xr3:uid="{10CD4D13-4E74-489B-AD34-52F88F574FF1}" name="Avg of Ge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99401C-7978-4233-B174-53A229B77589}" name="Table4" displayName="Table4" ref="S152:AF321" totalsRowShown="0">
  <autoFilter ref="S152:AF321" xr:uid="{E899401C-7978-4233-B174-53A229B77589}"/>
  <tableColumns count="14">
    <tableColumn id="1" xr3:uid="{1DB8A572-366D-4134-A8F0-B1C3CAA458D4}" name="Country"/>
    <tableColumn id="2" xr3:uid="{C6FD1DC6-B612-4435-B04F-D542208D8FBE}" name="# Surveys"/>
    <tableColumn id="3" xr3:uid="{E36996DA-53C5-4C4F-AAE1-8A070872D065}" name="Avg of Hap Rank"/>
    <tableColumn id="4" xr3:uid="{5FE5C6D6-70EB-4ADA-A137-AB0F12834B17}" name="Avg of Hap Score"/>
    <tableColumn id="5" xr3:uid="{7F7AEF94-F000-44AA-BB9B-98CD3BE6E0FC}" name="Avg of Std Err"/>
    <tableColumn id="6" xr3:uid="{9A319C4E-5CBE-481F-9B50-E294DA8E51DE}" name="Min of L CI"/>
    <tableColumn id="7" xr3:uid="{D8385046-9F6C-4034-8EAC-E7E9C12D6CAB}" name="Max of U CI"/>
    <tableColumn id="8" xr3:uid="{F1EBB299-A6CC-4FEE-B9B8-24504710ACF7}" name="Avg of Eco"/>
    <tableColumn id="9" xr3:uid="{4A167BA3-5253-4EBB-912F-29803ADF51B5}" name="Avg of Fam"/>
    <tableColumn id="10" xr3:uid="{46C95FE1-E859-4420-A2B2-71767B7DB2FC}" name="Avg of Soc Supp"/>
    <tableColumn id="11" xr3:uid="{642E1126-3807-4E47-AADF-C38A387572ED}" name="Avg of Health"/>
    <tableColumn id="12" xr3:uid="{6A1D518F-2B23-409F-8D46-9CA9AA30BEBE}" name="Avg of Freedom"/>
    <tableColumn id="13" xr3:uid="{79C24215-09E6-463A-A202-36CB2910E756}" name="Avg of Trust"/>
    <tableColumn id="14" xr3:uid="{87122362-4D06-4F40-81F2-850172BE7C1F}" name="Avg of 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unsdsn/world-happiness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6" Type="http://schemas.openxmlformats.org/officeDocument/2006/relationships/table" Target="../tables/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A85D1-5E33-4B24-8985-79DE02047681}">
  <dimension ref="D2:H57"/>
  <sheetViews>
    <sheetView topLeftCell="B18" zoomScale="80" zoomScaleNormal="80" workbookViewId="0">
      <selection activeCell="H38" sqref="H38"/>
    </sheetView>
  </sheetViews>
  <sheetFormatPr defaultRowHeight="14.5" x14ac:dyDescent="0.35"/>
  <sheetData>
    <row r="2" spans="4:5" x14ac:dyDescent="0.35">
      <c r="D2" t="s">
        <v>180</v>
      </c>
      <c r="E2" s="1" t="s">
        <v>181</v>
      </c>
    </row>
    <row r="4" spans="4:5" x14ac:dyDescent="0.35">
      <c r="D4" t="s">
        <v>182</v>
      </c>
    </row>
    <row r="5" spans="4:5" x14ac:dyDescent="0.35">
      <c r="D5" t="s">
        <v>237</v>
      </c>
    </row>
    <row r="6" spans="4:5" x14ac:dyDescent="0.35">
      <c r="D6" t="s">
        <v>199</v>
      </c>
    </row>
    <row r="7" spans="4:5" x14ac:dyDescent="0.35">
      <c r="E7" t="s">
        <v>200</v>
      </c>
    </row>
    <row r="8" spans="4:5" x14ac:dyDescent="0.35">
      <c r="E8" t="s">
        <v>201</v>
      </c>
    </row>
    <row r="9" spans="4:5" x14ac:dyDescent="0.35">
      <c r="E9" t="s">
        <v>236</v>
      </c>
    </row>
    <row r="10" spans="4:5" x14ac:dyDescent="0.35">
      <c r="E10" t="s">
        <v>205</v>
      </c>
    </row>
    <row r="11" spans="4:5" x14ac:dyDescent="0.35">
      <c r="E11" t="s">
        <v>206</v>
      </c>
    </row>
    <row r="12" spans="4:5" x14ac:dyDescent="0.35">
      <c r="D12" t="s">
        <v>238</v>
      </c>
    </row>
    <row r="13" spans="4:5" x14ac:dyDescent="0.35">
      <c r="E13" s="5" t="s">
        <v>239</v>
      </c>
    </row>
    <row r="15" spans="4:5" x14ac:dyDescent="0.35">
      <c r="D15" t="s">
        <v>240</v>
      </c>
    </row>
    <row r="21" spans="4:8" ht="18.5" x14ac:dyDescent="0.45">
      <c r="D21" s="6" t="s">
        <v>289</v>
      </c>
    </row>
    <row r="22" spans="4:8" x14ac:dyDescent="0.35">
      <c r="E22" s="3" t="s">
        <v>0</v>
      </c>
      <c r="H22" s="4" t="s">
        <v>183</v>
      </c>
    </row>
    <row r="23" spans="4:8" x14ac:dyDescent="0.35">
      <c r="E23" s="3" t="s">
        <v>1</v>
      </c>
      <c r="H23" s="4" t="s">
        <v>184</v>
      </c>
    </row>
    <row r="24" spans="4:8" x14ac:dyDescent="0.35">
      <c r="E24" s="3" t="s">
        <v>202</v>
      </c>
      <c r="H24" s="4" t="s">
        <v>185</v>
      </c>
    </row>
    <row r="25" spans="4:8" x14ac:dyDescent="0.35">
      <c r="E25" s="3" t="s">
        <v>3</v>
      </c>
      <c r="H25" s="4" t="s">
        <v>245</v>
      </c>
    </row>
    <row r="26" spans="4:8" x14ac:dyDescent="0.35">
      <c r="E26" s="3" t="s">
        <v>4</v>
      </c>
      <c r="H26" s="4" t="s">
        <v>186</v>
      </c>
    </row>
    <row r="27" spans="4:8" x14ac:dyDescent="0.35">
      <c r="E27" s="3" t="s">
        <v>194</v>
      </c>
      <c r="H27" s="4" t="s">
        <v>197</v>
      </c>
    </row>
    <row r="28" spans="4:8" x14ac:dyDescent="0.35">
      <c r="E28" s="3" t="s">
        <v>195</v>
      </c>
      <c r="H28" s="4" t="s">
        <v>196</v>
      </c>
    </row>
    <row r="29" spans="4:8" x14ac:dyDescent="0.35">
      <c r="E29" s="3" t="s">
        <v>5</v>
      </c>
      <c r="H29" s="4" t="s">
        <v>187</v>
      </c>
    </row>
    <row r="30" spans="4:8" x14ac:dyDescent="0.35">
      <c r="E30" s="3" t="s">
        <v>293</v>
      </c>
      <c r="H30" s="4" t="s">
        <v>188</v>
      </c>
    </row>
    <row r="31" spans="4:8" x14ac:dyDescent="0.35">
      <c r="E31" s="3" t="s">
        <v>294</v>
      </c>
      <c r="H31" s="4" t="s">
        <v>204</v>
      </c>
    </row>
    <row r="32" spans="4:8" x14ac:dyDescent="0.35">
      <c r="E32" s="3" t="s">
        <v>7</v>
      </c>
      <c r="H32" s="4" t="s">
        <v>189</v>
      </c>
    </row>
    <row r="33" spans="4:8" x14ac:dyDescent="0.35">
      <c r="E33" s="3" t="s">
        <v>8</v>
      </c>
      <c r="H33" s="4" t="s">
        <v>190</v>
      </c>
    </row>
    <row r="34" spans="4:8" x14ac:dyDescent="0.35">
      <c r="E34" s="3" t="s">
        <v>9</v>
      </c>
      <c r="H34" s="4" t="s">
        <v>191</v>
      </c>
    </row>
    <row r="35" spans="4:8" x14ac:dyDescent="0.35">
      <c r="E35" s="3" t="s">
        <v>10</v>
      </c>
      <c r="H35" s="4" t="s">
        <v>192</v>
      </c>
    </row>
    <row r="36" spans="4:8" x14ac:dyDescent="0.35">
      <c r="E36" s="3" t="s">
        <v>281</v>
      </c>
      <c r="H36" s="4" t="s">
        <v>193</v>
      </c>
    </row>
    <row r="37" spans="4:8" x14ac:dyDescent="0.35">
      <c r="E37" s="3" t="s">
        <v>198</v>
      </c>
      <c r="H37" s="4" t="s">
        <v>300</v>
      </c>
    </row>
    <row r="41" spans="4:8" ht="18.5" x14ac:dyDescent="0.45">
      <c r="D41" s="6" t="s">
        <v>282</v>
      </c>
    </row>
    <row r="43" spans="4:8" x14ac:dyDescent="0.35">
      <c r="E43" s="9" t="s">
        <v>281</v>
      </c>
      <c r="G43" s="4" t="s">
        <v>193</v>
      </c>
    </row>
    <row r="44" spans="4:8" x14ac:dyDescent="0.35">
      <c r="F44" t="s">
        <v>283</v>
      </c>
    </row>
    <row r="45" spans="4:8" x14ac:dyDescent="0.35">
      <c r="F45" t="s">
        <v>287</v>
      </c>
    </row>
    <row r="46" spans="4:8" x14ac:dyDescent="0.35">
      <c r="G46" t="s">
        <v>288</v>
      </c>
    </row>
    <row r="47" spans="4:8" x14ac:dyDescent="0.35">
      <c r="F47" t="s">
        <v>284</v>
      </c>
    </row>
    <row r="49" spans="5:8" x14ac:dyDescent="0.35">
      <c r="F49" t="s">
        <v>285</v>
      </c>
    </row>
    <row r="50" spans="5:8" x14ac:dyDescent="0.35">
      <c r="F50" t="s">
        <v>286</v>
      </c>
    </row>
    <row r="52" spans="5:8" x14ac:dyDescent="0.35">
      <c r="F52" t="s">
        <v>292</v>
      </c>
    </row>
    <row r="53" spans="5:8" x14ac:dyDescent="0.35">
      <c r="F53" t="s">
        <v>291</v>
      </c>
    </row>
    <row r="55" spans="5:8" x14ac:dyDescent="0.35">
      <c r="E55" s="9" t="s">
        <v>295</v>
      </c>
      <c r="H55" s="4" t="s">
        <v>296</v>
      </c>
    </row>
    <row r="56" spans="5:8" x14ac:dyDescent="0.35">
      <c r="F56" t="s">
        <v>298</v>
      </c>
    </row>
    <row r="57" spans="5:8" x14ac:dyDescent="0.35">
      <c r="F57" t="s">
        <v>297</v>
      </c>
    </row>
  </sheetData>
  <hyperlinks>
    <hyperlink ref="E2" r:id="rId1" xr:uid="{3E051E29-F2BC-4754-B7C7-B4767E24BB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78C4-C931-4BF7-81D5-A195900818DC}">
  <dimension ref="B2:N160"/>
  <sheetViews>
    <sheetView zoomScale="80" zoomScaleNormal="80" workbookViewId="0">
      <selection activeCell="G19" sqref="G19"/>
    </sheetView>
  </sheetViews>
  <sheetFormatPr defaultRowHeight="14.5" x14ac:dyDescent="0.35"/>
  <sheetData>
    <row r="2" spans="2:14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198</v>
      </c>
    </row>
    <row r="3" spans="2:14" x14ac:dyDescent="0.35">
      <c r="B3" t="s">
        <v>12</v>
      </c>
      <c r="C3" t="s">
        <v>13</v>
      </c>
      <c r="D3">
        <v>1</v>
      </c>
      <c r="E3">
        <v>7.5869999999999997</v>
      </c>
      <c r="F3">
        <v>3.4110000000000001E-2</v>
      </c>
      <c r="G3">
        <v>1.3965099999999999</v>
      </c>
      <c r="H3">
        <v>1.34951</v>
      </c>
      <c r="I3">
        <v>0.94142999999999999</v>
      </c>
      <c r="J3">
        <v>0.66556999999999999</v>
      </c>
      <c r="K3">
        <v>0.41977999999999999</v>
      </c>
      <c r="L3">
        <v>0.29677999999999999</v>
      </c>
      <c r="M3">
        <v>2.5173800000000002</v>
      </c>
      <c r="N3">
        <v>2015</v>
      </c>
    </row>
    <row r="4" spans="2:14" x14ac:dyDescent="0.35">
      <c r="B4" t="s">
        <v>14</v>
      </c>
      <c r="C4" t="s">
        <v>13</v>
      </c>
      <c r="D4">
        <v>2</v>
      </c>
      <c r="E4">
        <v>7.5609999999999999</v>
      </c>
      <c r="F4">
        <v>4.8840000000000001E-2</v>
      </c>
      <c r="G4">
        <v>1.3023199999999999</v>
      </c>
      <c r="H4">
        <v>1.4022300000000001</v>
      </c>
      <c r="I4">
        <v>0.94784000000000002</v>
      </c>
      <c r="J4">
        <v>0.62877000000000005</v>
      </c>
      <c r="K4">
        <v>0.14144999999999999</v>
      </c>
      <c r="L4">
        <v>0.43630000000000002</v>
      </c>
      <c r="M4">
        <v>2.70201</v>
      </c>
      <c r="N4">
        <v>2015</v>
      </c>
    </row>
    <row r="5" spans="2:14" x14ac:dyDescent="0.35">
      <c r="B5" t="s">
        <v>15</v>
      </c>
      <c r="C5" t="s">
        <v>13</v>
      </c>
      <c r="D5">
        <v>3</v>
      </c>
      <c r="E5">
        <v>7.5270000000000001</v>
      </c>
      <c r="F5">
        <v>3.3279999999999997E-2</v>
      </c>
      <c r="G5">
        <v>1.32548</v>
      </c>
      <c r="H5">
        <v>1.3605799999999999</v>
      </c>
      <c r="I5">
        <v>0.87463999999999997</v>
      </c>
      <c r="J5">
        <v>0.64937999999999996</v>
      </c>
      <c r="K5">
        <v>0.48357</v>
      </c>
      <c r="L5">
        <v>0.34139000000000003</v>
      </c>
      <c r="M5">
        <v>2.4920399999999998</v>
      </c>
      <c r="N5">
        <v>2015</v>
      </c>
    </row>
    <row r="6" spans="2:14" x14ac:dyDescent="0.35">
      <c r="B6" t="s">
        <v>16</v>
      </c>
      <c r="C6" t="s">
        <v>13</v>
      </c>
      <c r="D6">
        <v>4</v>
      </c>
      <c r="E6">
        <v>7.5220000000000002</v>
      </c>
      <c r="F6">
        <v>3.8800000000000001E-2</v>
      </c>
      <c r="G6">
        <v>1.4590000000000001</v>
      </c>
      <c r="H6">
        <v>1.3309500000000001</v>
      </c>
      <c r="I6">
        <v>0.88521000000000005</v>
      </c>
      <c r="J6">
        <v>0.66973000000000005</v>
      </c>
      <c r="K6">
        <v>0.36503000000000002</v>
      </c>
      <c r="L6">
        <v>0.34699000000000002</v>
      </c>
      <c r="M6">
        <v>2.4653100000000001</v>
      </c>
      <c r="N6">
        <v>2015</v>
      </c>
    </row>
    <row r="7" spans="2:14" x14ac:dyDescent="0.35">
      <c r="B7" t="s">
        <v>17</v>
      </c>
      <c r="C7" t="s">
        <v>18</v>
      </c>
      <c r="D7">
        <v>5</v>
      </c>
      <c r="E7">
        <v>7.4269999999999996</v>
      </c>
      <c r="F7">
        <v>3.5529999999999999E-2</v>
      </c>
      <c r="G7">
        <v>1.32629</v>
      </c>
      <c r="H7">
        <v>1.3226100000000001</v>
      </c>
      <c r="I7">
        <v>0.90563000000000005</v>
      </c>
      <c r="J7">
        <v>0.63297000000000003</v>
      </c>
      <c r="K7">
        <v>0.32956999999999997</v>
      </c>
      <c r="L7">
        <v>0.45811000000000002</v>
      </c>
      <c r="M7">
        <v>2.4517600000000002</v>
      </c>
      <c r="N7">
        <v>2015</v>
      </c>
    </row>
    <row r="8" spans="2:14" x14ac:dyDescent="0.35">
      <c r="B8" t="s">
        <v>19</v>
      </c>
      <c r="C8" t="s">
        <v>13</v>
      </c>
      <c r="D8">
        <v>6</v>
      </c>
      <c r="E8">
        <v>7.4059999999999997</v>
      </c>
      <c r="F8">
        <v>3.1399999999999997E-2</v>
      </c>
      <c r="G8">
        <v>1.2902499999999999</v>
      </c>
      <c r="H8">
        <v>1.31826</v>
      </c>
      <c r="I8">
        <v>0.88910999999999996</v>
      </c>
      <c r="J8">
        <v>0.64168999999999998</v>
      </c>
      <c r="K8">
        <v>0.41371999999999998</v>
      </c>
      <c r="L8">
        <v>0.23351</v>
      </c>
      <c r="M8">
        <v>2.6195499999999998</v>
      </c>
      <c r="N8">
        <v>2015</v>
      </c>
    </row>
    <row r="9" spans="2:14" x14ac:dyDescent="0.35">
      <c r="B9" t="s">
        <v>20</v>
      </c>
      <c r="C9" t="s">
        <v>13</v>
      </c>
      <c r="D9">
        <v>7</v>
      </c>
      <c r="E9">
        <v>7.3780000000000001</v>
      </c>
      <c r="F9">
        <v>2.7990000000000001E-2</v>
      </c>
      <c r="G9">
        <v>1.32944</v>
      </c>
      <c r="H9">
        <v>1.28017</v>
      </c>
      <c r="I9">
        <v>0.89283999999999997</v>
      </c>
      <c r="J9">
        <v>0.61575999999999997</v>
      </c>
      <c r="K9">
        <v>0.31813999999999998</v>
      </c>
      <c r="L9">
        <v>0.47610000000000002</v>
      </c>
      <c r="M9">
        <v>2.4657</v>
      </c>
      <c r="N9">
        <v>2015</v>
      </c>
    </row>
    <row r="10" spans="2:14" x14ac:dyDescent="0.35">
      <c r="B10" t="s">
        <v>21</v>
      </c>
      <c r="C10" t="s">
        <v>13</v>
      </c>
      <c r="D10">
        <v>8</v>
      </c>
      <c r="E10">
        <v>7.3639999999999999</v>
      </c>
      <c r="F10">
        <v>3.1570000000000001E-2</v>
      </c>
      <c r="G10">
        <v>1.3317099999999999</v>
      </c>
      <c r="H10">
        <v>1.2890699999999999</v>
      </c>
      <c r="I10">
        <v>0.91086999999999996</v>
      </c>
      <c r="J10">
        <v>0.65980000000000005</v>
      </c>
      <c r="K10">
        <v>0.43844</v>
      </c>
      <c r="L10">
        <v>0.36262</v>
      </c>
      <c r="M10">
        <v>2.3711899999999999</v>
      </c>
      <c r="N10">
        <v>2015</v>
      </c>
    </row>
    <row r="11" spans="2:14" x14ac:dyDescent="0.35">
      <c r="B11" t="s">
        <v>22</v>
      </c>
      <c r="C11" t="s">
        <v>23</v>
      </c>
      <c r="D11">
        <v>9</v>
      </c>
      <c r="E11">
        <v>7.2859999999999996</v>
      </c>
      <c r="F11">
        <v>3.3709999999999997E-2</v>
      </c>
      <c r="G11">
        <v>1.2501800000000001</v>
      </c>
      <c r="H11">
        <v>1.3196699999999999</v>
      </c>
      <c r="I11">
        <v>0.90837000000000001</v>
      </c>
      <c r="J11">
        <v>0.63937999999999995</v>
      </c>
      <c r="K11">
        <v>0.42921999999999999</v>
      </c>
      <c r="L11">
        <v>0.47500999999999999</v>
      </c>
      <c r="M11">
        <v>2.2642500000000001</v>
      </c>
      <c r="N11">
        <v>2015</v>
      </c>
    </row>
    <row r="12" spans="2:14" x14ac:dyDescent="0.35">
      <c r="B12" t="s">
        <v>24</v>
      </c>
      <c r="C12" t="s">
        <v>23</v>
      </c>
      <c r="D12">
        <v>10</v>
      </c>
      <c r="E12">
        <v>7.2839999999999998</v>
      </c>
      <c r="F12">
        <v>4.0829999999999998E-2</v>
      </c>
      <c r="G12">
        <v>1.33358</v>
      </c>
      <c r="H12">
        <v>1.3092299999999999</v>
      </c>
      <c r="I12">
        <v>0.93156000000000005</v>
      </c>
      <c r="J12">
        <v>0.65124000000000004</v>
      </c>
      <c r="K12">
        <v>0.35637000000000002</v>
      </c>
      <c r="L12">
        <v>0.43562000000000001</v>
      </c>
      <c r="M12">
        <v>2.2664599999999999</v>
      </c>
      <c r="N12">
        <v>2015</v>
      </c>
    </row>
    <row r="13" spans="2:14" x14ac:dyDescent="0.35">
      <c r="B13" t="s">
        <v>25</v>
      </c>
      <c r="C13" t="s">
        <v>26</v>
      </c>
      <c r="D13">
        <v>11</v>
      </c>
      <c r="E13">
        <v>7.2779999999999996</v>
      </c>
      <c r="F13">
        <v>3.4700000000000002E-2</v>
      </c>
      <c r="G13">
        <v>1.2285699999999999</v>
      </c>
      <c r="H13">
        <v>1.22393</v>
      </c>
      <c r="I13">
        <v>0.91386999999999996</v>
      </c>
      <c r="J13">
        <v>0.41319</v>
      </c>
      <c r="K13">
        <v>7.7850000000000003E-2</v>
      </c>
      <c r="L13">
        <v>0.33172000000000001</v>
      </c>
      <c r="M13">
        <v>3.0885400000000001</v>
      </c>
      <c r="N13">
        <v>2015</v>
      </c>
    </row>
    <row r="14" spans="2:14" x14ac:dyDescent="0.35">
      <c r="B14" t="s">
        <v>27</v>
      </c>
      <c r="C14" t="s">
        <v>28</v>
      </c>
      <c r="D14">
        <v>12</v>
      </c>
      <c r="E14">
        <v>7.226</v>
      </c>
      <c r="F14">
        <v>4.4540000000000003E-2</v>
      </c>
      <c r="G14">
        <v>0.95577999999999996</v>
      </c>
      <c r="H14">
        <v>1.2378800000000001</v>
      </c>
      <c r="I14">
        <v>0.86026999999999998</v>
      </c>
      <c r="J14">
        <v>0.63375999999999999</v>
      </c>
      <c r="K14">
        <v>0.10582999999999999</v>
      </c>
      <c r="L14">
        <v>0.25496999999999997</v>
      </c>
      <c r="M14">
        <v>3.1772800000000001</v>
      </c>
      <c r="N14">
        <v>2015</v>
      </c>
    </row>
    <row r="15" spans="2:14" x14ac:dyDescent="0.35">
      <c r="B15" t="s">
        <v>29</v>
      </c>
      <c r="C15" t="s">
        <v>13</v>
      </c>
      <c r="D15">
        <v>13</v>
      </c>
      <c r="E15">
        <v>7.2</v>
      </c>
      <c r="F15">
        <v>3.7510000000000002E-2</v>
      </c>
      <c r="G15">
        <v>1.3372299999999999</v>
      </c>
      <c r="H15">
        <v>1.29704</v>
      </c>
      <c r="I15">
        <v>0.89041999999999999</v>
      </c>
      <c r="J15">
        <v>0.62433000000000005</v>
      </c>
      <c r="K15">
        <v>0.18676000000000001</v>
      </c>
      <c r="L15">
        <v>0.33088000000000001</v>
      </c>
      <c r="M15">
        <v>2.5331999999999999</v>
      </c>
      <c r="N15">
        <v>2015</v>
      </c>
    </row>
    <row r="16" spans="2:14" x14ac:dyDescent="0.35">
      <c r="B16" t="s">
        <v>30</v>
      </c>
      <c r="C16" t="s">
        <v>28</v>
      </c>
      <c r="D16">
        <v>14</v>
      </c>
      <c r="E16">
        <v>7.1870000000000003</v>
      </c>
      <c r="F16">
        <v>4.1759999999999999E-2</v>
      </c>
      <c r="G16">
        <v>1.02054</v>
      </c>
      <c r="H16">
        <v>0.91451000000000005</v>
      </c>
      <c r="I16">
        <v>0.81444000000000005</v>
      </c>
      <c r="J16">
        <v>0.48181000000000002</v>
      </c>
      <c r="K16">
        <v>0.21312</v>
      </c>
      <c r="L16">
        <v>0.14074</v>
      </c>
      <c r="M16">
        <v>3.6021399999999999</v>
      </c>
      <c r="N16">
        <v>2015</v>
      </c>
    </row>
    <row r="17" spans="2:14" x14ac:dyDescent="0.35">
      <c r="B17" t="s">
        <v>31</v>
      </c>
      <c r="C17" t="s">
        <v>18</v>
      </c>
      <c r="D17">
        <v>15</v>
      </c>
      <c r="E17">
        <v>7.1189999999999998</v>
      </c>
      <c r="F17">
        <v>3.8390000000000001E-2</v>
      </c>
      <c r="G17">
        <v>1.3945099999999999</v>
      </c>
      <c r="H17">
        <v>1.2471099999999999</v>
      </c>
      <c r="I17">
        <v>0.86178999999999994</v>
      </c>
      <c r="J17">
        <v>0.54603999999999997</v>
      </c>
      <c r="K17">
        <v>0.15890000000000001</v>
      </c>
      <c r="L17">
        <v>0.40105000000000002</v>
      </c>
      <c r="M17">
        <v>2.5101100000000001</v>
      </c>
      <c r="N17">
        <v>2015</v>
      </c>
    </row>
    <row r="18" spans="2:14" x14ac:dyDescent="0.35">
      <c r="B18" t="s">
        <v>32</v>
      </c>
      <c r="C18" t="s">
        <v>28</v>
      </c>
      <c r="D18">
        <v>16</v>
      </c>
      <c r="E18">
        <v>6.9829999999999997</v>
      </c>
      <c r="F18">
        <v>4.0759999999999998E-2</v>
      </c>
      <c r="G18">
        <v>0.98124</v>
      </c>
      <c r="H18">
        <v>1.2328699999999999</v>
      </c>
      <c r="I18">
        <v>0.69701999999999997</v>
      </c>
      <c r="J18">
        <v>0.49048999999999998</v>
      </c>
      <c r="K18">
        <v>0.17521</v>
      </c>
      <c r="L18">
        <v>0.14574000000000001</v>
      </c>
      <c r="M18">
        <v>3.2600099999999999</v>
      </c>
      <c r="N18">
        <v>2015</v>
      </c>
    </row>
    <row r="19" spans="2:14" x14ac:dyDescent="0.35">
      <c r="B19" t="s">
        <v>33</v>
      </c>
      <c r="C19" t="s">
        <v>13</v>
      </c>
      <c r="D19">
        <v>17</v>
      </c>
      <c r="E19">
        <v>6.9459999999999997</v>
      </c>
      <c r="F19">
        <v>3.499E-2</v>
      </c>
      <c r="G19">
        <v>1.5639099999999999</v>
      </c>
      <c r="H19">
        <v>1.21963</v>
      </c>
      <c r="I19">
        <v>0.91893999999999998</v>
      </c>
      <c r="J19">
        <v>0.61582999999999999</v>
      </c>
      <c r="K19">
        <v>0.37797999999999998</v>
      </c>
      <c r="L19">
        <v>0.28033999999999998</v>
      </c>
      <c r="M19">
        <v>1.9696100000000001</v>
      </c>
      <c r="N19">
        <v>2015</v>
      </c>
    </row>
    <row r="20" spans="2:14" x14ac:dyDescent="0.35">
      <c r="B20" t="s">
        <v>34</v>
      </c>
      <c r="C20" t="s">
        <v>13</v>
      </c>
      <c r="D20">
        <v>18</v>
      </c>
      <c r="E20">
        <v>6.94</v>
      </c>
      <c r="F20">
        <v>3.6760000000000001E-2</v>
      </c>
      <c r="G20">
        <v>1.33596</v>
      </c>
      <c r="H20">
        <v>1.36948</v>
      </c>
      <c r="I20">
        <v>0.89532999999999996</v>
      </c>
      <c r="J20">
        <v>0.61777000000000004</v>
      </c>
      <c r="K20">
        <v>0.28703000000000001</v>
      </c>
      <c r="L20">
        <v>0.45900999999999997</v>
      </c>
      <c r="M20">
        <v>1.9757</v>
      </c>
      <c r="N20">
        <v>2015</v>
      </c>
    </row>
    <row r="21" spans="2:14" x14ac:dyDescent="0.35">
      <c r="B21" t="s">
        <v>35</v>
      </c>
      <c r="C21" t="s">
        <v>13</v>
      </c>
      <c r="D21">
        <v>19</v>
      </c>
      <c r="E21">
        <v>6.9370000000000003</v>
      </c>
      <c r="F21">
        <v>3.5950000000000003E-2</v>
      </c>
      <c r="G21">
        <v>1.30782</v>
      </c>
      <c r="H21">
        <v>1.28566</v>
      </c>
      <c r="I21">
        <v>0.89666999999999997</v>
      </c>
      <c r="J21">
        <v>0.58450000000000002</v>
      </c>
      <c r="K21">
        <v>0.22539999999999999</v>
      </c>
      <c r="L21">
        <v>0.2225</v>
      </c>
      <c r="M21">
        <v>2.4148399999999999</v>
      </c>
      <c r="N21">
        <v>2015</v>
      </c>
    </row>
    <row r="22" spans="2:14" x14ac:dyDescent="0.35">
      <c r="B22" t="s">
        <v>36</v>
      </c>
      <c r="C22" t="s">
        <v>26</v>
      </c>
      <c r="D22">
        <v>20</v>
      </c>
      <c r="E22">
        <v>6.9009999999999998</v>
      </c>
      <c r="F22">
        <v>3.7289999999999997E-2</v>
      </c>
      <c r="G22">
        <v>1.42727</v>
      </c>
      <c r="H22">
        <v>1.12575</v>
      </c>
      <c r="I22">
        <v>0.80925000000000002</v>
      </c>
      <c r="J22">
        <v>0.64156999999999997</v>
      </c>
      <c r="K22">
        <v>0.38583000000000001</v>
      </c>
      <c r="L22">
        <v>0.26428000000000001</v>
      </c>
      <c r="M22">
        <v>2.24743</v>
      </c>
      <c r="N22">
        <v>2015</v>
      </c>
    </row>
    <row r="23" spans="2:14" x14ac:dyDescent="0.35">
      <c r="B23" t="s">
        <v>37</v>
      </c>
      <c r="C23" t="s">
        <v>13</v>
      </c>
      <c r="D23">
        <v>21</v>
      </c>
      <c r="E23">
        <v>6.867</v>
      </c>
      <c r="F23">
        <v>1.866E-2</v>
      </c>
      <c r="G23">
        <v>1.26637</v>
      </c>
      <c r="H23">
        <v>1.28548</v>
      </c>
      <c r="I23">
        <v>0.90942999999999996</v>
      </c>
      <c r="J23">
        <v>0.59624999999999995</v>
      </c>
      <c r="K23">
        <v>0.32067000000000001</v>
      </c>
      <c r="L23">
        <v>0.51912000000000003</v>
      </c>
      <c r="M23">
        <v>1.96994</v>
      </c>
      <c r="N23">
        <v>2015</v>
      </c>
    </row>
    <row r="24" spans="2:14" x14ac:dyDescent="0.35">
      <c r="B24" t="s">
        <v>38</v>
      </c>
      <c r="C24" t="s">
        <v>26</v>
      </c>
      <c r="D24">
        <v>22</v>
      </c>
      <c r="E24">
        <v>6.8529999999999998</v>
      </c>
      <c r="F24">
        <v>5.3350000000000002E-2</v>
      </c>
      <c r="G24">
        <v>1.3601099999999999</v>
      </c>
      <c r="H24">
        <v>1.08182</v>
      </c>
      <c r="I24">
        <v>0.76275999999999999</v>
      </c>
      <c r="J24">
        <v>0.63273999999999997</v>
      </c>
      <c r="K24">
        <v>0.32523999999999997</v>
      </c>
      <c r="L24">
        <v>0.21542</v>
      </c>
      <c r="M24">
        <v>2.4748899999999998</v>
      </c>
      <c r="N24">
        <v>2015</v>
      </c>
    </row>
    <row r="25" spans="2:14" x14ac:dyDescent="0.35">
      <c r="B25" t="s">
        <v>39</v>
      </c>
      <c r="C25" t="s">
        <v>28</v>
      </c>
      <c r="D25">
        <v>23</v>
      </c>
      <c r="E25">
        <v>6.81</v>
      </c>
      <c r="F25">
        <v>6.4759999999999998E-2</v>
      </c>
      <c r="G25">
        <v>1.0442400000000001</v>
      </c>
      <c r="H25">
        <v>1.25596</v>
      </c>
      <c r="I25">
        <v>0.72052000000000005</v>
      </c>
      <c r="J25">
        <v>0.42908000000000002</v>
      </c>
      <c r="K25">
        <v>0.11069</v>
      </c>
      <c r="L25">
        <v>5.8409999999999997E-2</v>
      </c>
      <c r="M25">
        <v>3.1913100000000001</v>
      </c>
      <c r="N25">
        <v>2015</v>
      </c>
    </row>
    <row r="26" spans="2:14" x14ac:dyDescent="0.35">
      <c r="B26" t="s">
        <v>40</v>
      </c>
      <c r="C26" t="s">
        <v>41</v>
      </c>
      <c r="D26">
        <v>24</v>
      </c>
      <c r="E26">
        <v>6.798</v>
      </c>
      <c r="F26">
        <v>3.78E-2</v>
      </c>
      <c r="G26">
        <v>1.52186</v>
      </c>
      <c r="H26">
        <v>1.02</v>
      </c>
      <c r="I26">
        <v>1.02525</v>
      </c>
      <c r="J26">
        <v>0.54252</v>
      </c>
      <c r="K26">
        <v>0.49209999999999998</v>
      </c>
      <c r="L26">
        <v>0.31104999999999999</v>
      </c>
      <c r="M26">
        <v>1.8850100000000001</v>
      </c>
      <c r="N26">
        <v>2015</v>
      </c>
    </row>
    <row r="27" spans="2:14" x14ac:dyDescent="0.35">
      <c r="B27" t="s">
        <v>42</v>
      </c>
      <c r="C27" t="s">
        <v>28</v>
      </c>
      <c r="D27">
        <v>25</v>
      </c>
      <c r="E27">
        <v>6.7859999999999996</v>
      </c>
      <c r="F27">
        <v>4.9099999999999998E-2</v>
      </c>
      <c r="G27">
        <v>1.0635300000000001</v>
      </c>
      <c r="H27">
        <v>1.1984999999999999</v>
      </c>
      <c r="I27">
        <v>0.79661000000000004</v>
      </c>
      <c r="J27">
        <v>0.54210000000000003</v>
      </c>
      <c r="K27">
        <v>9.2700000000000005E-2</v>
      </c>
      <c r="L27">
        <v>0.24434</v>
      </c>
      <c r="M27">
        <v>2.8484799999999999</v>
      </c>
      <c r="N27">
        <v>2015</v>
      </c>
    </row>
    <row r="28" spans="2:14" x14ac:dyDescent="0.35">
      <c r="B28" t="s">
        <v>43</v>
      </c>
      <c r="C28" t="s">
        <v>13</v>
      </c>
      <c r="D28">
        <v>26</v>
      </c>
      <c r="E28">
        <v>6.75</v>
      </c>
      <c r="F28">
        <v>1.848E-2</v>
      </c>
      <c r="G28">
        <v>1.32792</v>
      </c>
      <c r="H28">
        <v>1.2993699999999999</v>
      </c>
      <c r="I28">
        <v>0.89185999999999999</v>
      </c>
      <c r="J28">
        <v>0.61477000000000004</v>
      </c>
      <c r="K28">
        <v>0.21843000000000001</v>
      </c>
      <c r="L28">
        <v>0.28214</v>
      </c>
      <c r="M28">
        <v>2.1156899999999998</v>
      </c>
      <c r="N28">
        <v>2015</v>
      </c>
    </row>
    <row r="29" spans="2:14" x14ac:dyDescent="0.35">
      <c r="B29" t="s">
        <v>44</v>
      </c>
      <c r="C29" t="s">
        <v>28</v>
      </c>
      <c r="D29">
        <v>27</v>
      </c>
      <c r="E29">
        <v>6.67</v>
      </c>
      <c r="F29">
        <v>5.8000000000000003E-2</v>
      </c>
      <c r="G29">
        <v>1.1071500000000001</v>
      </c>
      <c r="H29">
        <v>1.1244700000000001</v>
      </c>
      <c r="I29">
        <v>0.85857000000000006</v>
      </c>
      <c r="J29">
        <v>0.44131999999999999</v>
      </c>
      <c r="K29">
        <v>0.12869</v>
      </c>
      <c r="L29">
        <v>0.33362999999999998</v>
      </c>
      <c r="M29">
        <v>2.6758500000000001</v>
      </c>
      <c r="N29">
        <v>2015</v>
      </c>
    </row>
    <row r="30" spans="2:14" x14ac:dyDescent="0.35">
      <c r="B30" t="s">
        <v>45</v>
      </c>
      <c r="C30" t="s">
        <v>26</v>
      </c>
      <c r="D30">
        <v>28</v>
      </c>
      <c r="E30">
        <v>6.6109999999999998</v>
      </c>
      <c r="F30">
        <v>6.2570000000000001E-2</v>
      </c>
      <c r="G30">
        <v>1.69042</v>
      </c>
      <c r="H30">
        <v>1.0786</v>
      </c>
      <c r="I30">
        <v>0.79732999999999998</v>
      </c>
      <c r="J30">
        <v>0.64039999999999997</v>
      </c>
      <c r="K30">
        <v>0.52207999999999999</v>
      </c>
      <c r="L30">
        <v>0.32573000000000002</v>
      </c>
      <c r="M30">
        <v>1.55674</v>
      </c>
      <c r="N30">
        <v>2015</v>
      </c>
    </row>
    <row r="31" spans="2:14" x14ac:dyDescent="0.35">
      <c r="B31" t="s">
        <v>46</v>
      </c>
      <c r="C31" t="s">
        <v>13</v>
      </c>
      <c r="D31">
        <v>29</v>
      </c>
      <c r="E31">
        <v>6.5750000000000002</v>
      </c>
      <c r="F31">
        <v>3.5119999999999998E-2</v>
      </c>
      <c r="G31">
        <v>1.2777799999999999</v>
      </c>
      <c r="H31">
        <v>1.2603800000000001</v>
      </c>
      <c r="I31">
        <v>0.94579000000000002</v>
      </c>
      <c r="J31">
        <v>0.55010999999999999</v>
      </c>
      <c r="K31">
        <v>0.20646</v>
      </c>
      <c r="L31">
        <v>0.12332</v>
      </c>
      <c r="M31">
        <v>2.2112599999999998</v>
      </c>
      <c r="N31">
        <v>2015</v>
      </c>
    </row>
    <row r="32" spans="2:14" x14ac:dyDescent="0.35">
      <c r="B32" t="s">
        <v>47</v>
      </c>
      <c r="C32" t="s">
        <v>28</v>
      </c>
      <c r="D32">
        <v>30</v>
      </c>
      <c r="E32">
        <v>6.5739999999999998</v>
      </c>
      <c r="F32">
        <v>4.6120000000000001E-2</v>
      </c>
      <c r="G32">
        <v>1.0535099999999999</v>
      </c>
      <c r="H32">
        <v>1.24823</v>
      </c>
      <c r="I32">
        <v>0.78722999999999999</v>
      </c>
      <c r="J32">
        <v>0.44973999999999997</v>
      </c>
      <c r="K32">
        <v>8.4839999999999999E-2</v>
      </c>
      <c r="L32">
        <v>0.11451</v>
      </c>
      <c r="M32">
        <v>2.8359999999999999</v>
      </c>
      <c r="N32">
        <v>2015</v>
      </c>
    </row>
    <row r="33" spans="2:14" x14ac:dyDescent="0.35">
      <c r="B33" t="s">
        <v>48</v>
      </c>
      <c r="C33" t="s">
        <v>49</v>
      </c>
      <c r="D33">
        <v>31</v>
      </c>
      <c r="E33">
        <v>6.5049999999999999</v>
      </c>
      <c r="F33">
        <v>4.1680000000000002E-2</v>
      </c>
      <c r="G33">
        <v>1.1789799999999999</v>
      </c>
      <c r="H33">
        <v>1.2064299999999999</v>
      </c>
      <c r="I33">
        <v>0.84482999999999997</v>
      </c>
      <c r="J33">
        <v>0.46364</v>
      </c>
      <c r="K33">
        <v>2.6519999999999998E-2</v>
      </c>
      <c r="L33">
        <v>0.10686</v>
      </c>
      <c r="M33">
        <v>2.6778200000000001</v>
      </c>
      <c r="N33">
        <v>2015</v>
      </c>
    </row>
    <row r="34" spans="2:14" x14ac:dyDescent="0.35">
      <c r="B34" t="s">
        <v>50</v>
      </c>
      <c r="C34" t="s">
        <v>28</v>
      </c>
      <c r="D34">
        <v>32</v>
      </c>
      <c r="E34">
        <v>6.4850000000000003</v>
      </c>
      <c r="F34">
        <v>4.539E-2</v>
      </c>
      <c r="G34">
        <v>1.06166</v>
      </c>
      <c r="H34">
        <v>1.2089000000000001</v>
      </c>
      <c r="I34">
        <v>0.81159999999999999</v>
      </c>
      <c r="J34">
        <v>0.60362000000000005</v>
      </c>
      <c r="K34">
        <v>0.24557999999999999</v>
      </c>
      <c r="L34">
        <v>0.2324</v>
      </c>
      <c r="M34">
        <v>2.3214199999999998</v>
      </c>
      <c r="N34">
        <v>2015</v>
      </c>
    </row>
    <row r="35" spans="2:14" x14ac:dyDescent="0.35">
      <c r="B35" t="s">
        <v>51</v>
      </c>
      <c r="C35" t="s">
        <v>28</v>
      </c>
      <c r="D35">
        <v>33</v>
      </c>
      <c r="E35">
        <v>6.4770000000000003</v>
      </c>
      <c r="F35">
        <v>5.0509999999999999E-2</v>
      </c>
      <c r="G35">
        <v>0.91861000000000004</v>
      </c>
      <c r="H35">
        <v>1.2401800000000001</v>
      </c>
      <c r="I35">
        <v>0.69077</v>
      </c>
      <c r="J35">
        <v>0.53466000000000002</v>
      </c>
      <c r="K35">
        <v>5.1200000000000002E-2</v>
      </c>
      <c r="L35">
        <v>0.18401000000000001</v>
      </c>
      <c r="M35">
        <v>2.85737</v>
      </c>
      <c r="N35">
        <v>2015</v>
      </c>
    </row>
    <row r="36" spans="2:14" x14ac:dyDescent="0.35">
      <c r="B36" t="s">
        <v>52</v>
      </c>
      <c r="C36" t="s">
        <v>41</v>
      </c>
      <c r="D36">
        <v>34</v>
      </c>
      <c r="E36">
        <v>6.4550000000000001</v>
      </c>
      <c r="F36">
        <v>3.5569999999999997E-2</v>
      </c>
      <c r="G36">
        <v>0.96689999999999998</v>
      </c>
      <c r="H36">
        <v>1.2650399999999999</v>
      </c>
      <c r="I36">
        <v>0.73850000000000005</v>
      </c>
      <c r="J36">
        <v>0.55664000000000002</v>
      </c>
      <c r="K36">
        <v>3.1870000000000002E-2</v>
      </c>
      <c r="L36">
        <v>0.57630000000000003</v>
      </c>
      <c r="M36">
        <v>2.3194499999999998</v>
      </c>
      <c r="N36">
        <v>2015</v>
      </c>
    </row>
    <row r="37" spans="2:14" x14ac:dyDescent="0.35">
      <c r="B37" t="s">
        <v>53</v>
      </c>
      <c r="C37" t="s">
        <v>26</v>
      </c>
      <c r="D37">
        <v>35</v>
      </c>
      <c r="E37">
        <v>6.4109999999999996</v>
      </c>
      <c r="F37">
        <v>4.6330000000000003E-2</v>
      </c>
      <c r="G37">
        <v>1.39541</v>
      </c>
      <c r="H37">
        <v>1.0839300000000001</v>
      </c>
      <c r="I37">
        <v>0.72024999999999995</v>
      </c>
      <c r="J37">
        <v>0.31047999999999998</v>
      </c>
      <c r="K37">
        <v>0.32523999999999997</v>
      </c>
      <c r="L37">
        <v>0.13705999999999999</v>
      </c>
      <c r="M37">
        <v>2.43872</v>
      </c>
      <c r="N37">
        <v>2015</v>
      </c>
    </row>
    <row r="38" spans="2:14" x14ac:dyDescent="0.35">
      <c r="B38" t="s">
        <v>54</v>
      </c>
      <c r="C38" t="s">
        <v>13</v>
      </c>
      <c r="D38">
        <v>36</v>
      </c>
      <c r="E38">
        <v>6.3289999999999997</v>
      </c>
      <c r="F38">
        <v>3.4680000000000002E-2</v>
      </c>
      <c r="G38">
        <v>1.23011</v>
      </c>
      <c r="H38">
        <v>1.31379</v>
      </c>
      <c r="I38">
        <v>0.95562000000000002</v>
      </c>
      <c r="J38">
        <v>0.45950999999999997</v>
      </c>
      <c r="K38">
        <v>6.3979999999999995E-2</v>
      </c>
      <c r="L38">
        <v>0.18226999999999999</v>
      </c>
      <c r="M38">
        <v>2.1236700000000002</v>
      </c>
      <c r="N38">
        <v>2015</v>
      </c>
    </row>
    <row r="39" spans="2:14" x14ac:dyDescent="0.35">
      <c r="B39" t="s">
        <v>55</v>
      </c>
      <c r="C39" t="s">
        <v>13</v>
      </c>
      <c r="D39">
        <v>37</v>
      </c>
      <c r="E39">
        <v>6.3019999999999996</v>
      </c>
      <c r="F39">
        <v>4.206E-2</v>
      </c>
      <c r="G39">
        <v>1.2074</v>
      </c>
      <c r="H39">
        <v>1.30203</v>
      </c>
      <c r="I39">
        <v>0.88721000000000005</v>
      </c>
      <c r="J39">
        <v>0.60365000000000002</v>
      </c>
      <c r="K39">
        <v>0.13586000000000001</v>
      </c>
      <c r="L39">
        <v>0.51751999999999998</v>
      </c>
      <c r="M39">
        <v>1.6488</v>
      </c>
      <c r="N39">
        <v>2015</v>
      </c>
    </row>
    <row r="40" spans="2:14" x14ac:dyDescent="0.35">
      <c r="B40" t="s">
        <v>56</v>
      </c>
      <c r="C40" t="s">
        <v>57</v>
      </c>
      <c r="D40">
        <v>38</v>
      </c>
      <c r="E40">
        <v>6.298</v>
      </c>
      <c r="F40">
        <v>3.8679999999999999E-2</v>
      </c>
      <c r="G40">
        <v>1.29098</v>
      </c>
      <c r="H40">
        <v>1.0761700000000001</v>
      </c>
      <c r="I40">
        <v>0.87529999999999997</v>
      </c>
      <c r="J40">
        <v>0.39739999999999998</v>
      </c>
      <c r="K40">
        <v>8.1290000000000001E-2</v>
      </c>
      <c r="L40">
        <v>0.25375999999999999</v>
      </c>
      <c r="M40">
        <v>2.3232300000000001</v>
      </c>
      <c r="N40">
        <v>2015</v>
      </c>
    </row>
    <row r="41" spans="2:14" x14ac:dyDescent="0.35">
      <c r="B41" t="s">
        <v>58</v>
      </c>
      <c r="C41" t="s">
        <v>26</v>
      </c>
      <c r="D41">
        <v>39</v>
      </c>
      <c r="E41">
        <v>6.2949999999999999</v>
      </c>
      <c r="F41">
        <v>4.4560000000000002E-2</v>
      </c>
      <c r="G41">
        <v>1.5542199999999999</v>
      </c>
      <c r="H41">
        <v>1.16594</v>
      </c>
      <c r="I41">
        <v>0.72492000000000001</v>
      </c>
      <c r="J41">
        <v>0.55498999999999998</v>
      </c>
      <c r="K41">
        <v>0.25608999999999998</v>
      </c>
      <c r="L41">
        <v>0.16228000000000001</v>
      </c>
      <c r="M41">
        <v>1.8763399999999999</v>
      </c>
      <c r="N41">
        <v>2015</v>
      </c>
    </row>
    <row r="42" spans="2:14" x14ac:dyDescent="0.35">
      <c r="B42" t="s">
        <v>59</v>
      </c>
      <c r="C42" t="s">
        <v>28</v>
      </c>
      <c r="D42">
        <v>40</v>
      </c>
      <c r="E42">
        <v>6.2690000000000001</v>
      </c>
      <c r="F42">
        <v>9.8110000000000003E-2</v>
      </c>
      <c r="G42">
        <v>0.99534</v>
      </c>
      <c r="H42">
        <v>0.97199999999999998</v>
      </c>
      <c r="I42">
        <v>0.60819999999999996</v>
      </c>
      <c r="J42">
        <v>0.59657000000000004</v>
      </c>
      <c r="K42">
        <v>0.13633000000000001</v>
      </c>
      <c r="L42">
        <v>0.16991000000000001</v>
      </c>
      <c r="M42">
        <v>2.79094</v>
      </c>
      <c r="N42">
        <v>2015</v>
      </c>
    </row>
    <row r="43" spans="2:14" x14ac:dyDescent="0.35">
      <c r="B43" t="s">
        <v>60</v>
      </c>
      <c r="C43" t="s">
        <v>28</v>
      </c>
      <c r="D43">
        <v>41</v>
      </c>
      <c r="E43">
        <v>6.1680000000000001</v>
      </c>
      <c r="F43">
        <v>0.10895000000000001</v>
      </c>
      <c r="G43">
        <v>1.21183</v>
      </c>
      <c r="H43">
        <v>1.18354</v>
      </c>
      <c r="I43">
        <v>0.61482999999999999</v>
      </c>
      <c r="J43">
        <v>0.55884</v>
      </c>
      <c r="K43">
        <v>1.14E-2</v>
      </c>
      <c r="L43">
        <v>0.31844</v>
      </c>
      <c r="M43">
        <v>2.2688199999999998</v>
      </c>
      <c r="N43">
        <v>2015</v>
      </c>
    </row>
    <row r="44" spans="2:14" x14ac:dyDescent="0.35">
      <c r="B44" t="s">
        <v>61</v>
      </c>
      <c r="C44" t="s">
        <v>28</v>
      </c>
      <c r="D44">
        <v>42</v>
      </c>
      <c r="E44">
        <v>6.13</v>
      </c>
      <c r="F44">
        <v>5.6180000000000001E-2</v>
      </c>
      <c r="G44">
        <v>0.76454</v>
      </c>
      <c r="H44">
        <v>1.0250699999999999</v>
      </c>
      <c r="I44">
        <v>0.67737000000000003</v>
      </c>
      <c r="J44">
        <v>0.40350000000000003</v>
      </c>
      <c r="K44">
        <v>0.11776</v>
      </c>
      <c r="L44">
        <v>0.10692</v>
      </c>
      <c r="M44">
        <v>3.0350000000000001</v>
      </c>
      <c r="N44">
        <v>2015</v>
      </c>
    </row>
    <row r="45" spans="2:14" x14ac:dyDescent="0.35">
      <c r="B45" t="s">
        <v>62</v>
      </c>
      <c r="C45" t="s">
        <v>28</v>
      </c>
      <c r="D45">
        <v>43</v>
      </c>
      <c r="E45">
        <v>6.1230000000000002</v>
      </c>
      <c r="F45">
        <v>5.2240000000000002E-2</v>
      </c>
      <c r="G45">
        <v>0.74553000000000003</v>
      </c>
      <c r="H45">
        <v>1.04356</v>
      </c>
      <c r="I45">
        <v>0.64424999999999999</v>
      </c>
      <c r="J45">
        <v>0.57733000000000001</v>
      </c>
      <c r="K45">
        <v>9.4719999999999999E-2</v>
      </c>
      <c r="L45">
        <v>0.27489000000000002</v>
      </c>
      <c r="M45">
        <v>2.74255</v>
      </c>
      <c r="N45">
        <v>2015</v>
      </c>
    </row>
    <row r="46" spans="2:14" x14ac:dyDescent="0.35">
      <c r="B46" t="s">
        <v>63</v>
      </c>
      <c r="C46" t="s">
        <v>49</v>
      </c>
      <c r="D46">
        <v>44</v>
      </c>
      <c r="E46">
        <v>6.0030000000000001</v>
      </c>
      <c r="F46">
        <v>4.3610000000000003E-2</v>
      </c>
      <c r="G46">
        <v>0.63244</v>
      </c>
      <c r="H46">
        <v>1.34043</v>
      </c>
      <c r="I46">
        <v>0.59772000000000003</v>
      </c>
      <c r="J46">
        <v>0.65820999999999996</v>
      </c>
      <c r="K46">
        <v>0.30825999999999998</v>
      </c>
      <c r="L46">
        <v>0.22836999999999999</v>
      </c>
      <c r="M46">
        <v>2.2374100000000001</v>
      </c>
      <c r="N46">
        <v>2015</v>
      </c>
    </row>
    <row r="47" spans="2:14" x14ac:dyDescent="0.35">
      <c r="B47" t="s">
        <v>64</v>
      </c>
      <c r="C47" t="s">
        <v>49</v>
      </c>
      <c r="D47">
        <v>45</v>
      </c>
      <c r="E47">
        <v>5.9950000000000001</v>
      </c>
      <c r="F47">
        <v>4.267E-2</v>
      </c>
      <c r="G47">
        <v>1.1689099999999999</v>
      </c>
      <c r="H47">
        <v>1.26999</v>
      </c>
      <c r="I47">
        <v>0.78902000000000005</v>
      </c>
      <c r="J47">
        <v>0.31751000000000001</v>
      </c>
      <c r="K47">
        <v>3.431E-2</v>
      </c>
      <c r="L47">
        <v>0.16893</v>
      </c>
      <c r="M47">
        <v>2.2463899999999999</v>
      </c>
      <c r="N47">
        <v>2015</v>
      </c>
    </row>
    <row r="48" spans="2:14" x14ac:dyDescent="0.35">
      <c r="B48" t="s">
        <v>65</v>
      </c>
      <c r="C48" t="s">
        <v>57</v>
      </c>
      <c r="D48">
        <v>46</v>
      </c>
      <c r="E48">
        <v>5.9870000000000001</v>
      </c>
      <c r="F48">
        <v>3.5810000000000002E-2</v>
      </c>
      <c r="G48">
        <v>1.27074</v>
      </c>
      <c r="H48">
        <v>1.25712</v>
      </c>
      <c r="I48">
        <v>0.99111000000000005</v>
      </c>
      <c r="J48">
        <v>0.49614999999999998</v>
      </c>
      <c r="K48">
        <v>0.18060000000000001</v>
      </c>
      <c r="L48">
        <v>0.10705000000000001</v>
      </c>
      <c r="M48">
        <v>1.68435</v>
      </c>
      <c r="N48">
        <v>2015</v>
      </c>
    </row>
    <row r="49" spans="2:14" x14ac:dyDescent="0.35">
      <c r="B49" t="s">
        <v>66</v>
      </c>
      <c r="C49" t="s">
        <v>57</v>
      </c>
      <c r="D49">
        <v>47</v>
      </c>
      <c r="E49">
        <v>5.984</v>
      </c>
      <c r="F49">
        <v>4.0980000000000003E-2</v>
      </c>
      <c r="G49">
        <v>1.24461</v>
      </c>
      <c r="H49">
        <v>0.95774000000000004</v>
      </c>
      <c r="I49">
        <v>0.96538000000000002</v>
      </c>
      <c r="J49">
        <v>0.33207999999999999</v>
      </c>
      <c r="K49">
        <v>7.8570000000000001E-2</v>
      </c>
      <c r="L49">
        <v>0.18557000000000001</v>
      </c>
      <c r="M49">
        <v>2.2197800000000001</v>
      </c>
      <c r="N49">
        <v>2015</v>
      </c>
    </row>
    <row r="50" spans="2:14" x14ac:dyDescent="0.35">
      <c r="B50" t="s">
        <v>67</v>
      </c>
      <c r="C50" t="s">
        <v>28</v>
      </c>
      <c r="D50">
        <v>48</v>
      </c>
      <c r="E50">
        <v>5.9749999999999996</v>
      </c>
      <c r="F50">
        <v>4.5280000000000001E-2</v>
      </c>
      <c r="G50">
        <v>0.86402000000000001</v>
      </c>
      <c r="H50">
        <v>0.99902999999999997</v>
      </c>
      <c r="I50">
        <v>0.79074999999999995</v>
      </c>
      <c r="J50">
        <v>0.48574000000000001</v>
      </c>
      <c r="K50">
        <v>0.18090000000000001</v>
      </c>
      <c r="L50">
        <v>0.11541</v>
      </c>
      <c r="M50">
        <v>2.5394199999999998</v>
      </c>
      <c r="N50">
        <v>2015</v>
      </c>
    </row>
    <row r="51" spans="2:14" x14ac:dyDescent="0.35">
      <c r="B51" t="s">
        <v>68</v>
      </c>
      <c r="C51" t="s">
        <v>26</v>
      </c>
      <c r="D51">
        <v>49</v>
      </c>
      <c r="E51">
        <v>5.96</v>
      </c>
      <c r="F51">
        <v>5.4120000000000001E-2</v>
      </c>
      <c r="G51">
        <v>1.32376</v>
      </c>
      <c r="H51">
        <v>1.21624</v>
      </c>
      <c r="I51">
        <v>0.74716000000000005</v>
      </c>
      <c r="J51">
        <v>0.45491999999999999</v>
      </c>
      <c r="K51">
        <v>0.30599999999999999</v>
      </c>
      <c r="L51">
        <v>0.17362</v>
      </c>
      <c r="M51">
        <v>1.73797</v>
      </c>
      <c r="N51">
        <v>2015</v>
      </c>
    </row>
    <row r="52" spans="2:14" x14ac:dyDescent="0.35">
      <c r="B52" t="s">
        <v>69</v>
      </c>
      <c r="C52" t="s">
        <v>13</v>
      </c>
      <c r="D52">
        <v>50</v>
      </c>
      <c r="E52">
        <v>5.9480000000000004</v>
      </c>
      <c r="F52">
        <v>3.9140000000000001E-2</v>
      </c>
      <c r="G52">
        <v>1.2511399999999999</v>
      </c>
      <c r="H52">
        <v>1.19777</v>
      </c>
      <c r="I52">
        <v>0.95445999999999998</v>
      </c>
      <c r="J52">
        <v>0.26235999999999998</v>
      </c>
      <c r="K52">
        <v>2.9010000000000001E-2</v>
      </c>
      <c r="L52">
        <v>0.22822999999999999</v>
      </c>
      <c r="M52">
        <v>2.0251800000000002</v>
      </c>
      <c r="N52">
        <v>2015</v>
      </c>
    </row>
    <row r="53" spans="2:14" x14ac:dyDescent="0.35">
      <c r="B53" t="s">
        <v>70</v>
      </c>
      <c r="C53" t="s">
        <v>28</v>
      </c>
      <c r="D53">
        <v>51</v>
      </c>
      <c r="E53">
        <v>5.89</v>
      </c>
      <c r="F53">
        <v>5.6419999999999998E-2</v>
      </c>
      <c r="G53">
        <v>0.68132999999999999</v>
      </c>
      <c r="H53">
        <v>0.97841</v>
      </c>
      <c r="I53">
        <v>0.53920000000000001</v>
      </c>
      <c r="J53">
        <v>0.57413999999999998</v>
      </c>
      <c r="K53">
        <v>8.7999999999999995E-2</v>
      </c>
      <c r="L53">
        <v>0.20535999999999999</v>
      </c>
      <c r="M53">
        <v>2.82334</v>
      </c>
      <c r="N53">
        <v>2015</v>
      </c>
    </row>
    <row r="54" spans="2:14" x14ac:dyDescent="0.35">
      <c r="B54" t="s">
        <v>71</v>
      </c>
      <c r="C54" t="s">
        <v>49</v>
      </c>
      <c r="D54">
        <v>52</v>
      </c>
      <c r="E54">
        <v>5.8890000000000002</v>
      </c>
      <c r="F54">
        <v>3.7990000000000003E-2</v>
      </c>
      <c r="G54">
        <v>0.59448000000000001</v>
      </c>
      <c r="H54">
        <v>1.01528</v>
      </c>
      <c r="I54">
        <v>0.61826000000000003</v>
      </c>
      <c r="J54">
        <v>0.32818000000000003</v>
      </c>
      <c r="K54">
        <v>1.6150000000000001E-2</v>
      </c>
      <c r="L54">
        <v>0.20951</v>
      </c>
      <c r="M54">
        <v>3.1071200000000001</v>
      </c>
      <c r="N54">
        <v>2015</v>
      </c>
    </row>
    <row r="55" spans="2:14" x14ac:dyDescent="0.35">
      <c r="B55" t="s">
        <v>72</v>
      </c>
      <c r="C55" t="s">
        <v>28</v>
      </c>
      <c r="D55">
        <v>53</v>
      </c>
      <c r="E55">
        <v>5.8780000000000001</v>
      </c>
      <c r="F55">
        <v>4.5629999999999997E-2</v>
      </c>
      <c r="G55">
        <v>0.75985000000000003</v>
      </c>
      <c r="H55">
        <v>1.30477</v>
      </c>
      <c r="I55">
        <v>0.66098000000000001</v>
      </c>
      <c r="J55">
        <v>0.53898999999999997</v>
      </c>
      <c r="K55">
        <v>8.2419999999999993E-2</v>
      </c>
      <c r="L55">
        <v>0.34239999999999998</v>
      </c>
      <c r="M55">
        <v>2.1889599999999998</v>
      </c>
      <c r="N55">
        <v>2015</v>
      </c>
    </row>
    <row r="56" spans="2:14" x14ac:dyDescent="0.35">
      <c r="B56" t="s">
        <v>73</v>
      </c>
      <c r="C56" t="s">
        <v>49</v>
      </c>
      <c r="D56">
        <v>54</v>
      </c>
      <c r="E56">
        <v>5.8550000000000004</v>
      </c>
      <c r="F56">
        <v>4.1140000000000003E-2</v>
      </c>
      <c r="G56">
        <v>1.1225400000000001</v>
      </c>
      <c r="H56">
        <v>1.1224099999999999</v>
      </c>
      <c r="I56">
        <v>0.64368000000000003</v>
      </c>
      <c r="J56">
        <v>0.51649</v>
      </c>
      <c r="K56">
        <v>8.4540000000000004E-2</v>
      </c>
      <c r="L56">
        <v>0.11827</v>
      </c>
      <c r="M56">
        <v>2.24729</v>
      </c>
      <c r="N56">
        <v>2015</v>
      </c>
    </row>
    <row r="57" spans="2:14" x14ac:dyDescent="0.35">
      <c r="B57" t="s">
        <v>74</v>
      </c>
      <c r="C57" t="s">
        <v>49</v>
      </c>
      <c r="D57">
        <v>55</v>
      </c>
      <c r="E57">
        <v>5.8479999999999999</v>
      </c>
      <c r="F57">
        <v>4.2509999999999999E-2</v>
      </c>
      <c r="G57">
        <v>1.1849799999999999</v>
      </c>
      <c r="H57">
        <v>1.2738499999999999</v>
      </c>
      <c r="I57">
        <v>0.87336999999999998</v>
      </c>
      <c r="J57">
        <v>0.60855000000000004</v>
      </c>
      <c r="K57">
        <v>3.7870000000000001E-2</v>
      </c>
      <c r="L57">
        <v>0.25328000000000001</v>
      </c>
      <c r="M57">
        <v>1.6158300000000001</v>
      </c>
      <c r="N57">
        <v>2015</v>
      </c>
    </row>
    <row r="58" spans="2:14" x14ac:dyDescent="0.35">
      <c r="B58" t="s">
        <v>75</v>
      </c>
      <c r="C58" t="s">
        <v>49</v>
      </c>
      <c r="D58">
        <v>56</v>
      </c>
      <c r="E58">
        <v>5.8330000000000002</v>
      </c>
      <c r="F58">
        <v>3.8429999999999999E-2</v>
      </c>
      <c r="G58">
        <v>1.14723</v>
      </c>
      <c r="H58">
        <v>1.25745</v>
      </c>
      <c r="I58">
        <v>0.73128000000000004</v>
      </c>
      <c r="J58">
        <v>0.21342</v>
      </c>
      <c r="K58">
        <v>1.031E-2</v>
      </c>
      <c r="L58">
        <v>2.6409999999999999E-2</v>
      </c>
      <c r="M58">
        <v>2.4464899999999998</v>
      </c>
      <c r="N58">
        <v>2015</v>
      </c>
    </row>
    <row r="59" spans="2:14" x14ac:dyDescent="0.35">
      <c r="B59" t="s">
        <v>76</v>
      </c>
      <c r="C59" t="s">
        <v>28</v>
      </c>
      <c r="D59">
        <v>57</v>
      </c>
      <c r="E59">
        <v>5.8280000000000003</v>
      </c>
      <c r="F59">
        <v>5.3710000000000001E-2</v>
      </c>
      <c r="G59">
        <v>0.59325000000000006</v>
      </c>
      <c r="H59">
        <v>1.14184</v>
      </c>
      <c r="I59">
        <v>0.74314000000000002</v>
      </c>
      <c r="J59">
        <v>0.55474999999999997</v>
      </c>
      <c r="K59">
        <v>0.19317000000000001</v>
      </c>
      <c r="L59">
        <v>0.27815000000000001</v>
      </c>
      <c r="M59">
        <v>2.3240699999999999</v>
      </c>
      <c r="N59">
        <v>2015</v>
      </c>
    </row>
    <row r="60" spans="2:14" x14ac:dyDescent="0.35">
      <c r="B60" t="s">
        <v>77</v>
      </c>
      <c r="C60" t="s">
        <v>28</v>
      </c>
      <c r="D60">
        <v>58</v>
      </c>
      <c r="E60">
        <v>5.8239999999999998</v>
      </c>
      <c r="F60">
        <v>4.6149999999999997E-2</v>
      </c>
      <c r="G60">
        <v>0.90019000000000005</v>
      </c>
      <c r="H60">
        <v>0.97458999999999996</v>
      </c>
      <c r="I60">
        <v>0.73016999999999999</v>
      </c>
      <c r="J60">
        <v>0.41496</v>
      </c>
      <c r="K60">
        <v>5.9889999999999999E-2</v>
      </c>
      <c r="L60">
        <v>0.14982000000000001</v>
      </c>
      <c r="M60">
        <v>2.5945</v>
      </c>
      <c r="N60">
        <v>2015</v>
      </c>
    </row>
    <row r="61" spans="2:14" x14ac:dyDescent="0.35">
      <c r="B61" t="s">
        <v>78</v>
      </c>
      <c r="C61" t="s">
        <v>49</v>
      </c>
      <c r="D61">
        <v>59</v>
      </c>
      <c r="E61">
        <v>5.8129999999999997</v>
      </c>
      <c r="F61">
        <v>3.9379999999999998E-2</v>
      </c>
      <c r="G61">
        <v>1.0319199999999999</v>
      </c>
      <c r="H61">
        <v>1.23289</v>
      </c>
      <c r="I61">
        <v>0.73607999999999996</v>
      </c>
      <c r="J61">
        <v>0.37938</v>
      </c>
      <c r="K61">
        <v>0.19089999999999999</v>
      </c>
      <c r="L61">
        <v>0.11046</v>
      </c>
      <c r="M61">
        <v>2.1309</v>
      </c>
      <c r="N61">
        <v>2015</v>
      </c>
    </row>
    <row r="62" spans="2:14" x14ac:dyDescent="0.35">
      <c r="B62" t="s">
        <v>79</v>
      </c>
      <c r="C62" t="s">
        <v>49</v>
      </c>
      <c r="D62">
        <v>60</v>
      </c>
      <c r="E62">
        <v>5.7910000000000004</v>
      </c>
      <c r="F62">
        <v>4.2630000000000001E-2</v>
      </c>
      <c r="G62">
        <v>1.1255500000000001</v>
      </c>
      <c r="H62">
        <v>1.27948</v>
      </c>
      <c r="I62">
        <v>0.77903</v>
      </c>
      <c r="J62">
        <v>0.53122000000000003</v>
      </c>
      <c r="K62">
        <v>4.2119999999999998E-2</v>
      </c>
      <c r="L62">
        <v>0.16758999999999999</v>
      </c>
      <c r="M62">
        <v>1.86565</v>
      </c>
      <c r="N62">
        <v>2015</v>
      </c>
    </row>
    <row r="63" spans="2:14" x14ac:dyDescent="0.35">
      <c r="B63" t="s">
        <v>80</v>
      </c>
      <c r="C63" t="s">
        <v>41</v>
      </c>
      <c r="D63">
        <v>61</v>
      </c>
      <c r="E63">
        <v>5.77</v>
      </c>
      <c r="F63">
        <v>4.3299999999999998E-2</v>
      </c>
      <c r="G63">
        <v>1.12486</v>
      </c>
      <c r="H63">
        <v>1.07023</v>
      </c>
      <c r="I63">
        <v>0.72394000000000003</v>
      </c>
      <c r="J63">
        <v>0.53024000000000004</v>
      </c>
      <c r="K63">
        <v>0.10501000000000001</v>
      </c>
      <c r="L63">
        <v>0.33074999999999999</v>
      </c>
      <c r="M63">
        <v>1.88541</v>
      </c>
      <c r="N63">
        <v>2015</v>
      </c>
    </row>
    <row r="64" spans="2:14" x14ac:dyDescent="0.35">
      <c r="B64" t="s">
        <v>81</v>
      </c>
      <c r="C64" t="s">
        <v>49</v>
      </c>
      <c r="D64">
        <v>62</v>
      </c>
      <c r="E64">
        <v>5.7590000000000003</v>
      </c>
      <c r="F64">
        <v>4.394E-2</v>
      </c>
      <c r="G64">
        <v>1.0825400000000001</v>
      </c>
      <c r="H64">
        <v>0.79623999999999995</v>
      </c>
      <c r="I64">
        <v>0.78805000000000003</v>
      </c>
      <c r="J64">
        <v>0.25883</v>
      </c>
      <c r="K64">
        <v>2.4299999999999999E-2</v>
      </c>
      <c r="L64">
        <v>5.4440000000000002E-2</v>
      </c>
      <c r="M64">
        <v>2.75414</v>
      </c>
      <c r="N64">
        <v>2015</v>
      </c>
    </row>
    <row r="65" spans="2:14" x14ac:dyDescent="0.35">
      <c r="B65" t="s">
        <v>82</v>
      </c>
      <c r="C65" t="s">
        <v>26</v>
      </c>
      <c r="D65">
        <v>63</v>
      </c>
      <c r="E65">
        <v>5.7539999999999996</v>
      </c>
      <c r="F65">
        <v>7.8320000000000001E-2</v>
      </c>
      <c r="G65">
        <v>1.1314500000000001</v>
      </c>
      <c r="H65">
        <v>1.1186199999999999</v>
      </c>
      <c r="I65">
        <v>0.70379999999999998</v>
      </c>
      <c r="J65">
        <v>0.41667999999999999</v>
      </c>
      <c r="K65">
        <v>0.11022999999999999</v>
      </c>
      <c r="L65">
        <v>0.18295</v>
      </c>
      <c r="M65">
        <v>2.0906600000000002</v>
      </c>
      <c r="N65">
        <v>2015</v>
      </c>
    </row>
    <row r="66" spans="2:14" x14ac:dyDescent="0.35">
      <c r="B66" t="s">
        <v>83</v>
      </c>
      <c r="C66" t="s">
        <v>49</v>
      </c>
      <c r="D66">
        <v>64</v>
      </c>
      <c r="E66">
        <v>5.7160000000000002</v>
      </c>
      <c r="F66">
        <v>3.1350000000000003E-2</v>
      </c>
      <c r="G66">
        <v>1.13764</v>
      </c>
      <c r="H66">
        <v>1.23617</v>
      </c>
      <c r="I66">
        <v>0.66925999999999997</v>
      </c>
      <c r="J66">
        <v>0.36679</v>
      </c>
      <c r="K66">
        <v>3.005E-2</v>
      </c>
      <c r="L66">
        <v>1.99E-3</v>
      </c>
      <c r="M66">
        <v>2.2739400000000001</v>
      </c>
      <c r="N66">
        <v>2015</v>
      </c>
    </row>
    <row r="67" spans="2:14" x14ac:dyDescent="0.35">
      <c r="B67" t="s">
        <v>84</v>
      </c>
      <c r="C67" t="s">
        <v>28</v>
      </c>
      <c r="D67">
        <v>65</v>
      </c>
      <c r="E67">
        <v>5.7089999999999996</v>
      </c>
      <c r="F67">
        <v>0.13693</v>
      </c>
      <c r="G67">
        <v>0.81037999999999999</v>
      </c>
      <c r="H67">
        <v>1.1510199999999999</v>
      </c>
      <c r="I67">
        <v>0.68740999999999997</v>
      </c>
      <c r="J67">
        <v>0.50441999999999998</v>
      </c>
      <c r="K67">
        <v>2.299E-2</v>
      </c>
      <c r="L67">
        <v>0.21229999999999999</v>
      </c>
      <c r="M67">
        <v>2.3203800000000001</v>
      </c>
      <c r="N67">
        <v>2015</v>
      </c>
    </row>
    <row r="68" spans="2:14" x14ac:dyDescent="0.35">
      <c r="B68" t="s">
        <v>85</v>
      </c>
      <c r="C68" t="s">
        <v>13</v>
      </c>
      <c r="D68">
        <v>66</v>
      </c>
      <c r="E68">
        <v>5.6950000000000003</v>
      </c>
      <c r="F68">
        <v>5.6349999999999997E-2</v>
      </c>
      <c r="G68">
        <v>1.2080599999999999</v>
      </c>
      <c r="H68">
        <v>1.0700799999999999</v>
      </c>
      <c r="I68">
        <v>0.92356000000000005</v>
      </c>
      <c r="J68">
        <v>0.49026999999999998</v>
      </c>
      <c r="K68">
        <v>0.14280000000000001</v>
      </c>
      <c r="L68">
        <v>0.26168999999999998</v>
      </c>
      <c r="M68">
        <v>1.5988800000000001</v>
      </c>
      <c r="N68">
        <v>2015</v>
      </c>
    </row>
    <row r="69" spans="2:14" x14ac:dyDescent="0.35">
      <c r="B69" t="s">
        <v>86</v>
      </c>
      <c r="C69" t="s">
        <v>13</v>
      </c>
      <c r="D69">
        <v>67</v>
      </c>
      <c r="E69">
        <v>5.6890000000000001</v>
      </c>
      <c r="F69">
        <v>5.5800000000000002E-2</v>
      </c>
      <c r="G69">
        <v>1.2081299999999999</v>
      </c>
      <c r="H69">
        <v>0.89317999999999997</v>
      </c>
      <c r="I69">
        <v>0.92356000000000005</v>
      </c>
      <c r="J69">
        <v>0.40672000000000003</v>
      </c>
      <c r="K69">
        <v>6.1460000000000001E-2</v>
      </c>
      <c r="L69">
        <v>0.30637999999999999</v>
      </c>
      <c r="M69">
        <v>1.88931</v>
      </c>
      <c r="N69">
        <v>2015</v>
      </c>
    </row>
    <row r="70" spans="2:14" x14ac:dyDescent="0.35">
      <c r="B70" t="s">
        <v>87</v>
      </c>
      <c r="C70" t="s">
        <v>26</v>
      </c>
      <c r="D70">
        <v>68</v>
      </c>
      <c r="E70">
        <v>5.6050000000000004</v>
      </c>
      <c r="F70">
        <v>5.0990000000000001E-2</v>
      </c>
      <c r="G70">
        <v>0.93928999999999996</v>
      </c>
      <c r="H70">
        <v>1.07772</v>
      </c>
      <c r="I70">
        <v>0.61765999999999999</v>
      </c>
      <c r="J70">
        <v>0.28578999999999999</v>
      </c>
      <c r="K70">
        <v>0.17383000000000001</v>
      </c>
      <c r="L70">
        <v>7.8219999999999998E-2</v>
      </c>
      <c r="M70">
        <v>2.4320900000000001</v>
      </c>
      <c r="N70">
        <v>2015</v>
      </c>
    </row>
    <row r="71" spans="2:14" x14ac:dyDescent="0.35">
      <c r="B71" t="s">
        <v>88</v>
      </c>
      <c r="C71" t="s">
        <v>49</v>
      </c>
      <c r="D71">
        <v>69</v>
      </c>
      <c r="E71">
        <v>5.5890000000000004</v>
      </c>
      <c r="F71">
        <v>5.0180000000000002E-2</v>
      </c>
      <c r="G71">
        <v>0.80147999999999997</v>
      </c>
      <c r="H71">
        <v>0.81198000000000004</v>
      </c>
      <c r="I71">
        <v>0.63131999999999999</v>
      </c>
      <c r="J71">
        <v>0.24748999999999999</v>
      </c>
      <c r="K71">
        <v>4.7410000000000001E-2</v>
      </c>
      <c r="L71">
        <v>0.28310000000000002</v>
      </c>
      <c r="M71">
        <v>2.76579</v>
      </c>
      <c r="N71">
        <v>2015</v>
      </c>
    </row>
    <row r="72" spans="2:14" x14ac:dyDescent="0.35">
      <c r="B72" t="s">
        <v>89</v>
      </c>
      <c r="C72" t="s">
        <v>49</v>
      </c>
      <c r="D72">
        <v>70</v>
      </c>
      <c r="E72">
        <v>5.548</v>
      </c>
      <c r="F72">
        <v>4.1750000000000002E-2</v>
      </c>
      <c r="G72">
        <v>0.95847000000000004</v>
      </c>
      <c r="H72">
        <v>1.22668</v>
      </c>
      <c r="I72">
        <v>0.53886000000000001</v>
      </c>
      <c r="J72">
        <v>0.47610000000000002</v>
      </c>
      <c r="K72">
        <v>0.30843999999999999</v>
      </c>
      <c r="L72">
        <v>0.16979</v>
      </c>
      <c r="M72">
        <v>1.8698399999999999</v>
      </c>
      <c r="N72">
        <v>2015</v>
      </c>
    </row>
    <row r="73" spans="2:14" x14ac:dyDescent="0.35">
      <c r="B73" t="s">
        <v>90</v>
      </c>
      <c r="C73" t="s">
        <v>91</v>
      </c>
      <c r="D73">
        <v>71</v>
      </c>
      <c r="E73">
        <v>5.4770000000000003</v>
      </c>
      <c r="F73">
        <v>7.1970000000000006E-2</v>
      </c>
      <c r="G73">
        <v>1.0076099999999999</v>
      </c>
      <c r="H73">
        <v>0.98521000000000003</v>
      </c>
      <c r="I73">
        <v>0.70950000000000002</v>
      </c>
      <c r="J73">
        <v>0.56066000000000005</v>
      </c>
      <c r="K73">
        <v>7.5209999999999999E-2</v>
      </c>
      <c r="L73">
        <v>0.37744</v>
      </c>
      <c r="M73">
        <v>1.76145</v>
      </c>
      <c r="N73">
        <v>2015</v>
      </c>
    </row>
    <row r="74" spans="2:14" x14ac:dyDescent="0.35">
      <c r="B74" t="s">
        <v>92</v>
      </c>
      <c r="C74" t="s">
        <v>57</v>
      </c>
      <c r="D74">
        <v>72</v>
      </c>
      <c r="E74">
        <v>5.4740000000000002</v>
      </c>
      <c r="F74">
        <v>5.0509999999999999E-2</v>
      </c>
      <c r="G74">
        <v>1.3860399999999999</v>
      </c>
      <c r="H74">
        <v>1.0581799999999999</v>
      </c>
      <c r="I74">
        <v>1.01328</v>
      </c>
      <c r="J74">
        <v>0.59608000000000005</v>
      </c>
      <c r="K74">
        <v>0.37124000000000001</v>
      </c>
      <c r="L74">
        <v>0.39478000000000002</v>
      </c>
      <c r="M74">
        <v>0.65429000000000004</v>
      </c>
      <c r="N74">
        <v>2015</v>
      </c>
    </row>
    <row r="75" spans="2:14" x14ac:dyDescent="0.35">
      <c r="B75" t="s">
        <v>93</v>
      </c>
      <c r="C75" t="s">
        <v>49</v>
      </c>
      <c r="D75">
        <v>73</v>
      </c>
      <c r="E75">
        <v>5.4290000000000003</v>
      </c>
      <c r="F75">
        <v>4.0129999999999999E-2</v>
      </c>
      <c r="G75">
        <v>1.15174</v>
      </c>
      <c r="H75">
        <v>1.2279100000000001</v>
      </c>
      <c r="I75">
        <v>0.77361000000000002</v>
      </c>
      <c r="J75">
        <v>0.44888</v>
      </c>
      <c r="K75">
        <v>0.15184</v>
      </c>
      <c r="L75">
        <v>8.6800000000000002E-2</v>
      </c>
      <c r="M75">
        <v>1.58782</v>
      </c>
      <c r="N75">
        <v>2015</v>
      </c>
    </row>
    <row r="76" spans="2:14" x14ac:dyDescent="0.35">
      <c r="B76" t="s">
        <v>94</v>
      </c>
      <c r="C76" t="s">
        <v>41</v>
      </c>
      <c r="D76">
        <v>74</v>
      </c>
      <c r="E76">
        <v>5.399</v>
      </c>
      <c r="F76">
        <v>2.596E-2</v>
      </c>
      <c r="G76">
        <v>0.82826999999999995</v>
      </c>
      <c r="H76">
        <v>1.08708</v>
      </c>
      <c r="I76">
        <v>0.63793</v>
      </c>
      <c r="J76">
        <v>0.46611000000000002</v>
      </c>
      <c r="K76">
        <v>0</v>
      </c>
      <c r="L76">
        <v>0.51534999999999997</v>
      </c>
      <c r="M76">
        <v>1.86399</v>
      </c>
      <c r="N76">
        <v>2015</v>
      </c>
    </row>
    <row r="77" spans="2:14" x14ac:dyDescent="0.35">
      <c r="B77" t="s">
        <v>95</v>
      </c>
      <c r="C77" t="s">
        <v>41</v>
      </c>
      <c r="D77">
        <v>75</v>
      </c>
      <c r="E77">
        <v>5.36</v>
      </c>
      <c r="F77">
        <v>3.107E-2</v>
      </c>
      <c r="G77">
        <v>0.63216000000000006</v>
      </c>
      <c r="H77">
        <v>0.91225999999999996</v>
      </c>
      <c r="I77">
        <v>0.74675999999999998</v>
      </c>
      <c r="J77">
        <v>0.59443999999999997</v>
      </c>
      <c r="K77">
        <v>0.10441</v>
      </c>
      <c r="L77">
        <v>0.1686</v>
      </c>
      <c r="M77">
        <v>2.20173</v>
      </c>
      <c r="N77">
        <v>2015</v>
      </c>
    </row>
    <row r="78" spans="2:14" x14ac:dyDescent="0.35">
      <c r="B78" t="s">
        <v>96</v>
      </c>
      <c r="C78" t="s">
        <v>26</v>
      </c>
      <c r="D78">
        <v>76</v>
      </c>
      <c r="E78">
        <v>5.3319999999999999</v>
      </c>
      <c r="F78">
        <v>3.8640000000000001E-2</v>
      </c>
      <c r="G78">
        <v>1.06098</v>
      </c>
      <c r="H78">
        <v>0.94632000000000005</v>
      </c>
      <c r="I78">
        <v>0.73172000000000004</v>
      </c>
      <c r="J78">
        <v>0.22814999999999999</v>
      </c>
      <c r="K78">
        <v>0.15745999999999999</v>
      </c>
      <c r="L78">
        <v>0.12253</v>
      </c>
      <c r="M78">
        <v>2.08528</v>
      </c>
      <c r="N78">
        <v>2015</v>
      </c>
    </row>
    <row r="79" spans="2:14" x14ac:dyDescent="0.35">
      <c r="B79" t="s">
        <v>97</v>
      </c>
      <c r="C79" t="s">
        <v>49</v>
      </c>
      <c r="D79">
        <v>77</v>
      </c>
      <c r="E79">
        <v>5.2859999999999996</v>
      </c>
      <c r="F79">
        <v>3.823E-2</v>
      </c>
      <c r="G79">
        <v>0.47427999999999998</v>
      </c>
      <c r="H79">
        <v>1.1511499999999999</v>
      </c>
      <c r="I79">
        <v>0.65088000000000001</v>
      </c>
      <c r="J79">
        <v>0.43476999999999999</v>
      </c>
      <c r="K79">
        <v>4.2320000000000003E-2</v>
      </c>
      <c r="L79">
        <v>0.30030000000000001</v>
      </c>
      <c r="M79">
        <v>2.2326999999999999</v>
      </c>
      <c r="N79">
        <v>2015</v>
      </c>
    </row>
    <row r="80" spans="2:14" x14ac:dyDescent="0.35">
      <c r="B80" t="s">
        <v>98</v>
      </c>
      <c r="C80" t="s">
        <v>91</v>
      </c>
      <c r="D80">
        <v>78</v>
      </c>
      <c r="E80">
        <v>5.2679999999999998</v>
      </c>
      <c r="F80">
        <v>4.1919999999999999E-2</v>
      </c>
      <c r="G80">
        <v>0.65434999999999999</v>
      </c>
      <c r="H80">
        <v>0.90432000000000001</v>
      </c>
      <c r="I80">
        <v>0.16006999999999999</v>
      </c>
      <c r="J80">
        <v>0.34333999999999998</v>
      </c>
      <c r="K80">
        <v>4.0300000000000002E-2</v>
      </c>
      <c r="L80">
        <v>0.27233000000000002</v>
      </c>
      <c r="M80">
        <v>2.8931900000000002</v>
      </c>
      <c r="N80">
        <v>2015</v>
      </c>
    </row>
    <row r="81" spans="2:14" x14ac:dyDescent="0.35">
      <c r="B81" t="s">
        <v>99</v>
      </c>
      <c r="C81" t="s">
        <v>100</v>
      </c>
      <c r="D81">
        <v>79</v>
      </c>
      <c r="E81">
        <v>5.2530000000000001</v>
      </c>
      <c r="F81">
        <v>3.2250000000000001E-2</v>
      </c>
      <c r="G81">
        <v>0.77041999999999999</v>
      </c>
      <c r="H81">
        <v>1.10395</v>
      </c>
      <c r="I81">
        <v>0.57406999999999997</v>
      </c>
      <c r="J81">
        <v>0.53205999999999998</v>
      </c>
      <c r="K81">
        <v>0.15445</v>
      </c>
      <c r="L81">
        <v>0.47998000000000002</v>
      </c>
      <c r="M81">
        <v>1.63794</v>
      </c>
      <c r="N81">
        <v>2015</v>
      </c>
    </row>
    <row r="82" spans="2:14" x14ac:dyDescent="0.35">
      <c r="B82" t="s">
        <v>101</v>
      </c>
      <c r="C82" t="s">
        <v>49</v>
      </c>
      <c r="D82">
        <v>80</v>
      </c>
      <c r="E82">
        <v>5.2119999999999997</v>
      </c>
      <c r="F82">
        <v>3.363E-2</v>
      </c>
      <c r="G82">
        <v>1.02389</v>
      </c>
      <c r="H82">
        <v>0.93793000000000004</v>
      </c>
      <c r="I82">
        <v>0.64044999999999996</v>
      </c>
      <c r="J82">
        <v>0.37030000000000002</v>
      </c>
      <c r="K82">
        <v>0.16064999999999999</v>
      </c>
      <c r="L82">
        <v>7.7990000000000004E-2</v>
      </c>
      <c r="M82">
        <v>2.0007299999999999</v>
      </c>
      <c r="N82">
        <v>2015</v>
      </c>
    </row>
    <row r="83" spans="2:14" x14ac:dyDescent="0.35">
      <c r="B83" t="s">
        <v>102</v>
      </c>
      <c r="C83" t="s">
        <v>100</v>
      </c>
      <c r="D83">
        <v>81</v>
      </c>
      <c r="E83">
        <v>5.194</v>
      </c>
      <c r="F83">
        <v>3.7260000000000001E-2</v>
      </c>
      <c r="G83">
        <v>0.59543000000000001</v>
      </c>
      <c r="H83">
        <v>0.41410999999999998</v>
      </c>
      <c r="I83">
        <v>0.51466000000000001</v>
      </c>
      <c r="J83">
        <v>0.12102</v>
      </c>
      <c r="K83">
        <v>0.10464</v>
      </c>
      <c r="L83">
        <v>0.33671000000000001</v>
      </c>
      <c r="M83">
        <v>3.1070899999999999</v>
      </c>
      <c r="N83">
        <v>2015</v>
      </c>
    </row>
    <row r="84" spans="2:14" x14ac:dyDescent="0.35">
      <c r="B84" t="s">
        <v>103</v>
      </c>
      <c r="C84" t="s">
        <v>26</v>
      </c>
      <c r="D84">
        <v>82</v>
      </c>
      <c r="E84">
        <v>5.1920000000000002</v>
      </c>
      <c r="F84">
        <v>4.5240000000000002E-2</v>
      </c>
      <c r="G84">
        <v>0.90198</v>
      </c>
      <c r="H84">
        <v>1.05392</v>
      </c>
      <c r="I84">
        <v>0.69638999999999995</v>
      </c>
      <c r="J84">
        <v>0.40661000000000003</v>
      </c>
      <c r="K84">
        <v>0.14293</v>
      </c>
      <c r="L84">
        <v>0.11053</v>
      </c>
      <c r="M84">
        <v>1.8799600000000001</v>
      </c>
      <c r="N84">
        <v>2015</v>
      </c>
    </row>
    <row r="85" spans="2:14" x14ac:dyDescent="0.35">
      <c r="B85" t="s">
        <v>104</v>
      </c>
      <c r="C85" t="s">
        <v>49</v>
      </c>
      <c r="D85">
        <v>82</v>
      </c>
      <c r="E85">
        <v>5.1920000000000002</v>
      </c>
      <c r="F85">
        <v>5.2350000000000001E-2</v>
      </c>
      <c r="G85">
        <v>0.97438000000000002</v>
      </c>
      <c r="H85">
        <v>0.90556999999999999</v>
      </c>
      <c r="I85">
        <v>0.72521000000000002</v>
      </c>
      <c r="J85">
        <v>0.18260000000000001</v>
      </c>
      <c r="K85">
        <v>0.14296</v>
      </c>
      <c r="L85">
        <v>0.16139999999999999</v>
      </c>
      <c r="M85">
        <v>2.1001699999999999</v>
      </c>
      <c r="N85">
        <v>2015</v>
      </c>
    </row>
    <row r="86" spans="2:14" x14ac:dyDescent="0.35">
      <c r="B86" t="s">
        <v>105</v>
      </c>
      <c r="C86" t="s">
        <v>57</v>
      </c>
      <c r="D86">
        <v>84</v>
      </c>
      <c r="E86">
        <v>5.14</v>
      </c>
      <c r="F86">
        <v>2.4240000000000001E-2</v>
      </c>
      <c r="G86">
        <v>0.89012000000000002</v>
      </c>
      <c r="H86">
        <v>0.94674999999999998</v>
      </c>
      <c r="I86">
        <v>0.81657999999999997</v>
      </c>
      <c r="J86">
        <v>0.51697000000000004</v>
      </c>
      <c r="K86">
        <v>2.7810000000000001E-2</v>
      </c>
      <c r="L86">
        <v>8.1850000000000006E-2</v>
      </c>
      <c r="M86">
        <v>1.8604000000000001</v>
      </c>
      <c r="N86">
        <v>2015</v>
      </c>
    </row>
    <row r="87" spans="2:14" x14ac:dyDescent="0.35">
      <c r="B87" t="s">
        <v>106</v>
      </c>
      <c r="C87" t="s">
        <v>91</v>
      </c>
      <c r="D87">
        <v>85</v>
      </c>
      <c r="E87">
        <v>5.1289999999999996</v>
      </c>
      <c r="F87">
        <v>6.9879999999999998E-2</v>
      </c>
      <c r="G87">
        <v>0.47038000000000002</v>
      </c>
      <c r="H87">
        <v>0.91612000000000005</v>
      </c>
      <c r="I87">
        <v>0.29924000000000001</v>
      </c>
      <c r="J87">
        <v>0.48826999999999998</v>
      </c>
      <c r="K87">
        <v>0.12468</v>
      </c>
      <c r="L87">
        <v>0.19591</v>
      </c>
      <c r="M87">
        <v>2.6343000000000001</v>
      </c>
      <c r="N87">
        <v>2015</v>
      </c>
    </row>
    <row r="88" spans="2:14" x14ac:dyDescent="0.35">
      <c r="B88" t="s">
        <v>107</v>
      </c>
      <c r="C88" t="s">
        <v>49</v>
      </c>
      <c r="D88">
        <v>86</v>
      </c>
      <c r="E88">
        <v>5.1239999999999997</v>
      </c>
      <c r="F88">
        <v>6.6070000000000004E-2</v>
      </c>
      <c r="G88">
        <v>1.04345</v>
      </c>
      <c r="H88">
        <v>0.88588</v>
      </c>
      <c r="I88">
        <v>0.76890000000000003</v>
      </c>
      <c r="J88">
        <v>0.35067999999999999</v>
      </c>
      <c r="K88">
        <v>6.4900000000000001E-3</v>
      </c>
      <c r="L88">
        <v>0.13747999999999999</v>
      </c>
      <c r="M88">
        <v>1.93129</v>
      </c>
      <c r="N88">
        <v>2015</v>
      </c>
    </row>
    <row r="89" spans="2:14" x14ac:dyDescent="0.35">
      <c r="B89" t="s">
        <v>108</v>
      </c>
      <c r="C89" t="s">
        <v>49</v>
      </c>
      <c r="D89">
        <v>87</v>
      </c>
      <c r="E89">
        <v>5.1230000000000002</v>
      </c>
      <c r="F89">
        <v>4.8640000000000003E-2</v>
      </c>
      <c r="G89">
        <v>0.92052999999999996</v>
      </c>
      <c r="H89">
        <v>1.0096400000000001</v>
      </c>
      <c r="I89">
        <v>0.74836000000000003</v>
      </c>
      <c r="J89">
        <v>0.20107</v>
      </c>
      <c r="K89">
        <v>2.6169999999999999E-2</v>
      </c>
      <c r="L89">
        <v>0.19231000000000001</v>
      </c>
      <c r="M89">
        <v>2.0249999999999999</v>
      </c>
      <c r="N89">
        <v>2015</v>
      </c>
    </row>
    <row r="90" spans="2:14" x14ac:dyDescent="0.35">
      <c r="B90" t="s">
        <v>109</v>
      </c>
      <c r="C90" t="s">
        <v>13</v>
      </c>
      <c r="D90">
        <v>88</v>
      </c>
      <c r="E90">
        <v>5.1020000000000003</v>
      </c>
      <c r="F90">
        <v>4.802E-2</v>
      </c>
      <c r="G90">
        <v>1.15991</v>
      </c>
      <c r="H90">
        <v>1.1393500000000001</v>
      </c>
      <c r="I90">
        <v>0.87519000000000002</v>
      </c>
      <c r="J90">
        <v>0.51468999999999998</v>
      </c>
      <c r="K90">
        <v>1.078E-2</v>
      </c>
      <c r="L90">
        <v>0.13719000000000001</v>
      </c>
      <c r="M90">
        <v>1.2646200000000001</v>
      </c>
      <c r="N90">
        <v>2015</v>
      </c>
    </row>
    <row r="91" spans="2:14" x14ac:dyDescent="0.35">
      <c r="B91" t="s">
        <v>110</v>
      </c>
      <c r="C91" t="s">
        <v>49</v>
      </c>
      <c r="D91">
        <v>89</v>
      </c>
      <c r="E91">
        <v>5.0979999999999999</v>
      </c>
      <c r="F91">
        <v>4.6399999999999997E-2</v>
      </c>
      <c r="G91">
        <v>1.1131200000000001</v>
      </c>
      <c r="H91">
        <v>1.09562</v>
      </c>
      <c r="I91">
        <v>0.72436999999999996</v>
      </c>
      <c r="J91">
        <v>0.29670999999999997</v>
      </c>
      <c r="K91">
        <v>6.3320000000000001E-2</v>
      </c>
      <c r="L91">
        <v>0.18226000000000001</v>
      </c>
      <c r="M91">
        <v>1.62215</v>
      </c>
      <c r="N91">
        <v>2015</v>
      </c>
    </row>
    <row r="92" spans="2:14" x14ac:dyDescent="0.35">
      <c r="B92" t="s">
        <v>111</v>
      </c>
      <c r="C92" t="s">
        <v>41</v>
      </c>
      <c r="D92">
        <v>90</v>
      </c>
      <c r="E92">
        <v>5.0730000000000004</v>
      </c>
      <c r="F92">
        <v>4.9340000000000002E-2</v>
      </c>
      <c r="G92">
        <v>0.70531999999999995</v>
      </c>
      <c r="H92">
        <v>1.0351600000000001</v>
      </c>
      <c r="I92">
        <v>0.58113999999999999</v>
      </c>
      <c r="J92">
        <v>0.62544999999999995</v>
      </c>
      <c r="K92">
        <v>0.12279</v>
      </c>
      <c r="L92">
        <v>0.24990999999999999</v>
      </c>
      <c r="M92">
        <v>1.7536</v>
      </c>
      <c r="N92">
        <v>2015</v>
      </c>
    </row>
    <row r="93" spans="2:14" x14ac:dyDescent="0.35">
      <c r="B93" t="s">
        <v>112</v>
      </c>
      <c r="C93" t="s">
        <v>91</v>
      </c>
      <c r="D93">
        <v>91</v>
      </c>
      <c r="E93">
        <v>5.0570000000000004</v>
      </c>
      <c r="F93">
        <v>6.1609999999999998E-2</v>
      </c>
      <c r="G93">
        <v>0.18847</v>
      </c>
      <c r="H93">
        <v>0.95152000000000003</v>
      </c>
      <c r="I93">
        <v>0.43873000000000001</v>
      </c>
      <c r="J93">
        <v>0.46582000000000001</v>
      </c>
      <c r="K93">
        <v>0.39928000000000002</v>
      </c>
      <c r="L93">
        <v>0.50317999999999996</v>
      </c>
      <c r="M93">
        <v>2.1103200000000002</v>
      </c>
      <c r="N93">
        <v>2015</v>
      </c>
    </row>
    <row r="94" spans="2:14" x14ac:dyDescent="0.35">
      <c r="B94" t="s">
        <v>113</v>
      </c>
      <c r="C94" t="s">
        <v>26</v>
      </c>
      <c r="D94">
        <v>92</v>
      </c>
      <c r="E94">
        <v>5.0129999999999999</v>
      </c>
      <c r="F94">
        <v>3.4200000000000001E-2</v>
      </c>
      <c r="G94">
        <v>0.73479000000000005</v>
      </c>
      <c r="H94">
        <v>0.64095000000000002</v>
      </c>
      <c r="I94">
        <v>0.60953999999999997</v>
      </c>
      <c r="J94">
        <v>0.41691</v>
      </c>
      <c r="K94">
        <v>8.5459999999999994E-2</v>
      </c>
      <c r="L94">
        <v>7.1720000000000006E-2</v>
      </c>
      <c r="M94">
        <v>2.4537300000000002</v>
      </c>
      <c r="N94">
        <v>2015</v>
      </c>
    </row>
    <row r="95" spans="2:14" x14ac:dyDescent="0.35">
      <c r="B95" t="s">
        <v>114</v>
      </c>
      <c r="C95" t="s">
        <v>49</v>
      </c>
      <c r="D95">
        <v>93</v>
      </c>
      <c r="E95">
        <v>5.0069999999999997</v>
      </c>
      <c r="F95">
        <v>5.3760000000000002E-2</v>
      </c>
      <c r="G95">
        <v>0.91851000000000005</v>
      </c>
      <c r="H95">
        <v>1.0023200000000001</v>
      </c>
      <c r="I95">
        <v>0.73545000000000005</v>
      </c>
      <c r="J95">
        <v>0.33456999999999998</v>
      </c>
      <c r="K95">
        <v>5.3269999999999998E-2</v>
      </c>
      <c r="L95">
        <v>0.22359000000000001</v>
      </c>
      <c r="M95">
        <v>1.73933</v>
      </c>
      <c r="N95">
        <v>2015</v>
      </c>
    </row>
    <row r="96" spans="2:14" x14ac:dyDescent="0.35">
      <c r="B96" t="s">
        <v>115</v>
      </c>
      <c r="C96" t="s">
        <v>91</v>
      </c>
      <c r="D96">
        <v>94</v>
      </c>
      <c r="E96">
        <v>4.9710000000000001</v>
      </c>
      <c r="F96">
        <v>7.8960000000000002E-2</v>
      </c>
      <c r="G96">
        <v>8.3080000000000001E-2</v>
      </c>
      <c r="H96">
        <v>1.02626</v>
      </c>
      <c r="I96">
        <v>9.1310000000000002E-2</v>
      </c>
      <c r="J96">
        <v>0.34037000000000001</v>
      </c>
      <c r="K96">
        <v>0.15603</v>
      </c>
      <c r="L96">
        <v>0.22269</v>
      </c>
      <c r="M96">
        <v>3.0513699999999999</v>
      </c>
      <c r="N96">
        <v>2015</v>
      </c>
    </row>
    <row r="97" spans="2:14" x14ac:dyDescent="0.35">
      <c r="B97" t="s">
        <v>116</v>
      </c>
      <c r="C97" t="s">
        <v>49</v>
      </c>
      <c r="D97">
        <v>95</v>
      </c>
      <c r="E97">
        <v>4.9589999999999996</v>
      </c>
      <c r="F97">
        <v>5.0130000000000001E-2</v>
      </c>
      <c r="G97">
        <v>0.87866999999999995</v>
      </c>
      <c r="H97">
        <v>0.80434000000000005</v>
      </c>
      <c r="I97">
        <v>0.81325000000000003</v>
      </c>
      <c r="J97">
        <v>0.35732999999999998</v>
      </c>
      <c r="K97">
        <v>6.4130000000000006E-2</v>
      </c>
      <c r="L97">
        <v>0.14272000000000001</v>
      </c>
      <c r="M97">
        <v>1.8989400000000001</v>
      </c>
      <c r="N97">
        <v>2015</v>
      </c>
    </row>
    <row r="98" spans="2:14" x14ac:dyDescent="0.35">
      <c r="B98" t="s">
        <v>117</v>
      </c>
      <c r="C98" t="s">
        <v>49</v>
      </c>
      <c r="D98">
        <v>96</v>
      </c>
      <c r="E98">
        <v>4.9489999999999998</v>
      </c>
      <c r="F98">
        <v>6.9129999999999997E-2</v>
      </c>
      <c r="G98">
        <v>0.83223000000000003</v>
      </c>
      <c r="H98">
        <v>0.91915999999999998</v>
      </c>
      <c r="I98">
        <v>0.79081000000000001</v>
      </c>
      <c r="J98">
        <v>9.2450000000000004E-2</v>
      </c>
      <c r="K98">
        <v>2.2699999999999999E-3</v>
      </c>
      <c r="L98">
        <v>0.24807999999999999</v>
      </c>
      <c r="M98">
        <v>2.0636700000000001</v>
      </c>
      <c r="N98">
        <v>2015</v>
      </c>
    </row>
    <row r="99" spans="2:14" x14ac:dyDescent="0.35">
      <c r="B99" t="s">
        <v>118</v>
      </c>
      <c r="C99" t="s">
        <v>91</v>
      </c>
      <c r="D99">
        <v>97</v>
      </c>
      <c r="E99">
        <v>4.8979999999999997</v>
      </c>
      <c r="F99">
        <v>9.4380000000000006E-2</v>
      </c>
      <c r="G99">
        <v>0.37545000000000001</v>
      </c>
      <c r="H99">
        <v>1.0410299999999999</v>
      </c>
      <c r="I99">
        <v>7.6119999999999993E-2</v>
      </c>
      <c r="J99">
        <v>0.31767000000000001</v>
      </c>
      <c r="K99">
        <v>0.12504000000000001</v>
      </c>
      <c r="L99">
        <v>0.16388</v>
      </c>
      <c r="M99">
        <v>2.7983199999999999</v>
      </c>
      <c r="N99">
        <v>2015</v>
      </c>
    </row>
    <row r="100" spans="2:14" x14ac:dyDescent="0.35">
      <c r="B100" t="s">
        <v>119</v>
      </c>
      <c r="C100" t="s">
        <v>28</v>
      </c>
      <c r="D100">
        <v>98</v>
      </c>
      <c r="E100">
        <v>4.8849999999999998</v>
      </c>
      <c r="F100">
        <v>7.4459999999999998E-2</v>
      </c>
      <c r="G100">
        <v>0.89537</v>
      </c>
      <c r="H100">
        <v>1.1720200000000001</v>
      </c>
      <c r="I100">
        <v>0.66825000000000001</v>
      </c>
      <c r="J100">
        <v>0.57672000000000001</v>
      </c>
      <c r="K100">
        <v>0.14233999999999999</v>
      </c>
      <c r="L100">
        <v>0.21684</v>
      </c>
      <c r="M100">
        <v>1.21305</v>
      </c>
      <c r="N100">
        <v>2015</v>
      </c>
    </row>
    <row r="101" spans="2:14" x14ac:dyDescent="0.35">
      <c r="B101" t="s">
        <v>120</v>
      </c>
      <c r="C101" t="s">
        <v>41</v>
      </c>
      <c r="D101">
        <v>99</v>
      </c>
      <c r="E101">
        <v>4.8760000000000003</v>
      </c>
      <c r="F101">
        <v>6.6979999999999998E-2</v>
      </c>
      <c r="G101">
        <v>0.59065999999999996</v>
      </c>
      <c r="H101">
        <v>0.73802999999999996</v>
      </c>
      <c r="I101">
        <v>0.54908999999999997</v>
      </c>
      <c r="J101">
        <v>0.59591000000000005</v>
      </c>
      <c r="K101">
        <v>0.24249000000000001</v>
      </c>
      <c r="L101">
        <v>0.42192000000000002</v>
      </c>
      <c r="M101">
        <v>1.7379899999999999</v>
      </c>
      <c r="N101">
        <v>2015</v>
      </c>
    </row>
    <row r="102" spans="2:14" x14ac:dyDescent="0.35">
      <c r="B102" t="s">
        <v>121</v>
      </c>
      <c r="C102" t="s">
        <v>57</v>
      </c>
      <c r="D102">
        <v>100</v>
      </c>
      <c r="E102">
        <v>4.8739999999999997</v>
      </c>
      <c r="F102">
        <v>3.313E-2</v>
      </c>
      <c r="G102">
        <v>0.82818999999999998</v>
      </c>
      <c r="H102">
        <v>1.3006</v>
      </c>
      <c r="I102">
        <v>0.60267999999999999</v>
      </c>
      <c r="J102">
        <v>0.43625999999999998</v>
      </c>
      <c r="K102">
        <v>2.666E-2</v>
      </c>
      <c r="L102">
        <v>0.33229999999999998</v>
      </c>
      <c r="M102">
        <v>1.3475900000000001</v>
      </c>
      <c r="N102">
        <v>2015</v>
      </c>
    </row>
    <row r="103" spans="2:14" x14ac:dyDescent="0.35">
      <c r="B103" t="s">
        <v>122</v>
      </c>
      <c r="C103" t="s">
        <v>91</v>
      </c>
      <c r="D103">
        <v>101</v>
      </c>
      <c r="E103">
        <v>4.867</v>
      </c>
      <c r="F103">
        <v>8.7419999999999998E-2</v>
      </c>
      <c r="G103">
        <v>0.71206000000000003</v>
      </c>
      <c r="H103">
        <v>1.07284</v>
      </c>
      <c r="I103">
        <v>7.5660000000000005E-2</v>
      </c>
      <c r="J103">
        <v>0.30658000000000002</v>
      </c>
      <c r="K103">
        <v>3.0599999999999999E-2</v>
      </c>
      <c r="L103">
        <v>0.18259</v>
      </c>
      <c r="M103">
        <v>2.4867599999999999</v>
      </c>
      <c r="N103">
        <v>2015</v>
      </c>
    </row>
    <row r="104" spans="2:14" x14ac:dyDescent="0.35">
      <c r="B104" t="s">
        <v>123</v>
      </c>
      <c r="C104" t="s">
        <v>13</v>
      </c>
      <c r="D104">
        <v>102</v>
      </c>
      <c r="E104">
        <v>4.8570000000000002</v>
      </c>
      <c r="F104">
        <v>5.0619999999999998E-2</v>
      </c>
      <c r="G104">
        <v>1.1540600000000001</v>
      </c>
      <c r="H104">
        <v>0.92932999999999999</v>
      </c>
      <c r="I104">
        <v>0.88212999999999997</v>
      </c>
      <c r="J104">
        <v>7.6990000000000003E-2</v>
      </c>
      <c r="K104">
        <v>1.397E-2</v>
      </c>
      <c r="L104">
        <v>0</v>
      </c>
      <c r="M104">
        <v>1.80101</v>
      </c>
      <c r="N104">
        <v>2015</v>
      </c>
    </row>
    <row r="105" spans="2:14" x14ac:dyDescent="0.35">
      <c r="B105" t="s">
        <v>124</v>
      </c>
      <c r="C105" t="s">
        <v>26</v>
      </c>
      <c r="D105">
        <v>103</v>
      </c>
      <c r="E105">
        <v>4.8390000000000004</v>
      </c>
      <c r="F105">
        <v>4.3369999999999999E-2</v>
      </c>
      <c r="G105">
        <v>1.0256400000000001</v>
      </c>
      <c r="H105">
        <v>0.80001</v>
      </c>
      <c r="I105">
        <v>0.83947000000000005</v>
      </c>
      <c r="J105">
        <v>0.33916000000000002</v>
      </c>
      <c r="K105">
        <v>4.582E-2</v>
      </c>
      <c r="L105">
        <v>0.21854000000000001</v>
      </c>
      <c r="M105">
        <v>1.5705899999999999</v>
      </c>
      <c r="N105">
        <v>2015</v>
      </c>
    </row>
    <row r="106" spans="2:14" x14ac:dyDescent="0.35">
      <c r="B106" t="s">
        <v>125</v>
      </c>
      <c r="C106" t="s">
        <v>49</v>
      </c>
      <c r="D106">
        <v>104</v>
      </c>
      <c r="E106">
        <v>4.8</v>
      </c>
      <c r="F106">
        <v>6.1069999999999999E-2</v>
      </c>
      <c r="G106">
        <v>1.12094</v>
      </c>
      <c r="H106">
        <v>1.2021500000000001</v>
      </c>
      <c r="I106">
        <v>0.75905</v>
      </c>
      <c r="J106">
        <v>0.32112000000000002</v>
      </c>
      <c r="K106">
        <v>2.758E-2</v>
      </c>
      <c r="L106">
        <v>0.128</v>
      </c>
      <c r="M106">
        <v>1.24074</v>
      </c>
      <c r="N106">
        <v>2015</v>
      </c>
    </row>
    <row r="107" spans="2:14" x14ac:dyDescent="0.35">
      <c r="B107" t="s">
        <v>126</v>
      </c>
      <c r="C107" t="s">
        <v>28</v>
      </c>
      <c r="D107">
        <v>105</v>
      </c>
      <c r="E107">
        <v>4.7880000000000003</v>
      </c>
      <c r="F107">
        <v>5.6480000000000002E-2</v>
      </c>
      <c r="G107">
        <v>0.59531999999999996</v>
      </c>
      <c r="H107">
        <v>0.95347999999999999</v>
      </c>
      <c r="I107">
        <v>0.69510000000000005</v>
      </c>
      <c r="J107">
        <v>0.40148</v>
      </c>
      <c r="K107">
        <v>6.8250000000000005E-2</v>
      </c>
      <c r="L107">
        <v>0.23027</v>
      </c>
      <c r="M107">
        <v>1.8440799999999999</v>
      </c>
      <c r="N107">
        <v>2015</v>
      </c>
    </row>
    <row r="108" spans="2:14" x14ac:dyDescent="0.35">
      <c r="B108" t="s">
        <v>127</v>
      </c>
      <c r="C108" t="s">
        <v>49</v>
      </c>
      <c r="D108">
        <v>106</v>
      </c>
      <c r="E108">
        <v>4.7859999999999996</v>
      </c>
      <c r="F108">
        <v>3.1980000000000001E-2</v>
      </c>
      <c r="G108">
        <v>0.39046999999999998</v>
      </c>
      <c r="H108">
        <v>0.85563</v>
      </c>
      <c r="I108">
        <v>0.57379000000000002</v>
      </c>
      <c r="J108">
        <v>0.47216000000000002</v>
      </c>
      <c r="K108">
        <v>0.15071999999999999</v>
      </c>
      <c r="L108">
        <v>0.22974</v>
      </c>
      <c r="M108">
        <v>2.1139899999999998</v>
      </c>
      <c r="N108">
        <v>2015</v>
      </c>
    </row>
    <row r="109" spans="2:14" x14ac:dyDescent="0.35">
      <c r="B109" t="s">
        <v>128</v>
      </c>
      <c r="C109" t="s">
        <v>26</v>
      </c>
      <c r="D109">
        <v>107</v>
      </c>
      <c r="E109">
        <v>4.7389999999999999</v>
      </c>
      <c r="F109">
        <v>3.5889999999999998E-2</v>
      </c>
      <c r="G109">
        <v>0.88112999999999997</v>
      </c>
      <c r="H109">
        <v>0.60428999999999999</v>
      </c>
      <c r="I109">
        <v>0.73792999999999997</v>
      </c>
      <c r="J109">
        <v>0.26268000000000002</v>
      </c>
      <c r="K109">
        <v>6.3579999999999998E-2</v>
      </c>
      <c r="L109">
        <v>6.4310000000000006E-2</v>
      </c>
      <c r="M109">
        <v>2.12466</v>
      </c>
      <c r="N109">
        <v>2015</v>
      </c>
    </row>
    <row r="110" spans="2:14" x14ac:dyDescent="0.35">
      <c r="B110" t="s">
        <v>129</v>
      </c>
      <c r="C110" t="s">
        <v>26</v>
      </c>
      <c r="D110">
        <v>108</v>
      </c>
      <c r="E110">
        <v>4.7149999999999999</v>
      </c>
      <c r="F110">
        <v>4.394E-2</v>
      </c>
      <c r="G110">
        <v>0.59867000000000004</v>
      </c>
      <c r="H110">
        <v>0.92557999999999996</v>
      </c>
      <c r="I110">
        <v>0.66015000000000001</v>
      </c>
      <c r="J110">
        <v>0.24499000000000001</v>
      </c>
      <c r="K110">
        <v>0.12905</v>
      </c>
      <c r="L110">
        <v>0.11251</v>
      </c>
      <c r="M110">
        <v>2.0438399999999999</v>
      </c>
      <c r="N110">
        <v>2015</v>
      </c>
    </row>
    <row r="111" spans="2:14" x14ac:dyDescent="0.35">
      <c r="B111" t="s">
        <v>130</v>
      </c>
      <c r="C111" t="s">
        <v>100</v>
      </c>
      <c r="D111">
        <v>109</v>
      </c>
      <c r="E111">
        <v>4.694</v>
      </c>
      <c r="F111">
        <v>3.0769999999999999E-2</v>
      </c>
      <c r="G111">
        <v>0.39752999999999999</v>
      </c>
      <c r="H111">
        <v>0.43106</v>
      </c>
      <c r="I111">
        <v>0.60163999999999995</v>
      </c>
      <c r="J111">
        <v>0.40820000000000001</v>
      </c>
      <c r="K111">
        <v>0.12569</v>
      </c>
      <c r="L111">
        <v>0.21221999999999999</v>
      </c>
      <c r="M111">
        <v>2.5176699999999999</v>
      </c>
      <c r="N111">
        <v>2015</v>
      </c>
    </row>
    <row r="112" spans="2:14" x14ac:dyDescent="0.35">
      <c r="B112" t="s">
        <v>131</v>
      </c>
      <c r="C112" t="s">
        <v>26</v>
      </c>
      <c r="D112">
        <v>110</v>
      </c>
      <c r="E112">
        <v>4.6859999999999999</v>
      </c>
      <c r="F112">
        <v>4.4490000000000002E-2</v>
      </c>
      <c r="G112">
        <v>1.0087999999999999</v>
      </c>
      <c r="H112">
        <v>0.54447000000000001</v>
      </c>
      <c r="I112">
        <v>0.69804999999999995</v>
      </c>
      <c r="J112">
        <v>0.30032999999999999</v>
      </c>
      <c r="K112">
        <v>5.8630000000000002E-2</v>
      </c>
      <c r="L112">
        <v>0.38085999999999998</v>
      </c>
      <c r="M112">
        <v>1.6943999999999999</v>
      </c>
      <c r="N112">
        <v>2015</v>
      </c>
    </row>
    <row r="113" spans="2:14" x14ac:dyDescent="0.35">
      <c r="B113" t="s">
        <v>132</v>
      </c>
      <c r="C113" t="s">
        <v>49</v>
      </c>
      <c r="D113">
        <v>111</v>
      </c>
      <c r="E113">
        <v>4.681</v>
      </c>
      <c r="F113">
        <v>4.4119999999999999E-2</v>
      </c>
      <c r="G113">
        <v>0.79906999999999995</v>
      </c>
      <c r="H113">
        <v>1.20278</v>
      </c>
      <c r="I113">
        <v>0.67390000000000005</v>
      </c>
      <c r="J113">
        <v>0.25123000000000001</v>
      </c>
      <c r="K113">
        <v>2.9610000000000001E-2</v>
      </c>
      <c r="L113">
        <v>0.15275</v>
      </c>
      <c r="M113">
        <v>1.5713999999999999</v>
      </c>
      <c r="N113">
        <v>2015</v>
      </c>
    </row>
    <row r="114" spans="2:14" x14ac:dyDescent="0.35">
      <c r="B114" t="s">
        <v>133</v>
      </c>
      <c r="C114" t="s">
        <v>26</v>
      </c>
      <c r="D114">
        <v>112</v>
      </c>
      <c r="E114">
        <v>4.6769999999999996</v>
      </c>
      <c r="F114">
        <v>5.2319999999999998E-2</v>
      </c>
      <c r="G114">
        <v>0.98548999999999998</v>
      </c>
      <c r="H114">
        <v>0.81889000000000001</v>
      </c>
      <c r="I114">
        <v>0.60236999999999996</v>
      </c>
      <c r="J114">
        <v>0</v>
      </c>
      <c r="K114">
        <v>0.13788</v>
      </c>
      <c r="L114">
        <v>0.17921999999999999</v>
      </c>
      <c r="M114">
        <v>1.9533499999999999</v>
      </c>
      <c r="N114">
        <v>2015</v>
      </c>
    </row>
    <row r="115" spans="2:14" x14ac:dyDescent="0.35">
      <c r="B115" t="s">
        <v>134</v>
      </c>
      <c r="C115" t="s">
        <v>91</v>
      </c>
      <c r="D115">
        <v>113</v>
      </c>
      <c r="E115">
        <v>4.6420000000000003</v>
      </c>
      <c r="F115">
        <v>4.5850000000000002E-2</v>
      </c>
      <c r="G115">
        <v>0.92049000000000003</v>
      </c>
      <c r="H115">
        <v>1.18468</v>
      </c>
      <c r="I115">
        <v>0.27688000000000001</v>
      </c>
      <c r="J115">
        <v>0.33206999999999998</v>
      </c>
      <c r="K115">
        <v>8.8840000000000002E-2</v>
      </c>
      <c r="L115">
        <v>0.11973</v>
      </c>
      <c r="M115">
        <v>1.71956</v>
      </c>
      <c r="N115">
        <v>2015</v>
      </c>
    </row>
    <row r="116" spans="2:14" x14ac:dyDescent="0.35">
      <c r="B116" t="s">
        <v>135</v>
      </c>
      <c r="C116" t="s">
        <v>91</v>
      </c>
      <c r="D116">
        <v>114</v>
      </c>
      <c r="E116">
        <v>4.633</v>
      </c>
      <c r="F116">
        <v>4.7419999999999997E-2</v>
      </c>
      <c r="G116">
        <v>0.54557999999999995</v>
      </c>
      <c r="H116">
        <v>0.67954000000000003</v>
      </c>
      <c r="I116">
        <v>0.40132000000000001</v>
      </c>
      <c r="J116">
        <v>0.42342000000000002</v>
      </c>
      <c r="K116">
        <v>4.3549999999999998E-2</v>
      </c>
      <c r="L116">
        <v>0.23086999999999999</v>
      </c>
      <c r="M116">
        <v>2.3091900000000001</v>
      </c>
      <c r="N116">
        <v>2015</v>
      </c>
    </row>
    <row r="117" spans="2:14" x14ac:dyDescent="0.35">
      <c r="B117" t="s">
        <v>136</v>
      </c>
      <c r="C117" t="s">
        <v>91</v>
      </c>
      <c r="D117">
        <v>115</v>
      </c>
      <c r="E117">
        <v>4.6100000000000003</v>
      </c>
      <c r="F117">
        <v>4.2900000000000001E-2</v>
      </c>
      <c r="G117">
        <v>0.27100000000000002</v>
      </c>
      <c r="H117">
        <v>1.0327599999999999</v>
      </c>
      <c r="I117">
        <v>0.33474999999999999</v>
      </c>
      <c r="J117">
        <v>0.25861000000000001</v>
      </c>
      <c r="K117">
        <v>8.0790000000000001E-2</v>
      </c>
      <c r="L117">
        <v>0.18987000000000001</v>
      </c>
      <c r="M117">
        <v>2.44191</v>
      </c>
      <c r="N117">
        <v>2015</v>
      </c>
    </row>
    <row r="118" spans="2:14" x14ac:dyDescent="0.35">
      <c r="B118" t="s">
        <v>137</v>
      </c>
      <c r="C118" t="s">
        <v>91</v>
      </c>
      <c r="D118">
        <v>116</v>
      </c>
      <c r="E118">
        <v>4.5709999999999997</v>
      </c>
      <c r="F118">
        <v>0.11068</v>
      </c>
      <c r="G118">
        <v>7.1199999999999999E-2</v>
      </c>
      <c r="H118">
        <v>0.78968000000000005</v>
      </c>
      <c r="I118">
        <v>0.34200999999999998</v>
      </c>
      <c r="J118">
        <v>0.28531000000000001</v>
      </c>
      <c r="K118">
        <v>6.232E-2</v>
      </c>
      <c r="L118">
        <v>0.24362</v>
      </c>
      <c r="M118">
        <v>2.7772899999999998</v>
      </c>
      <c r="N118">
        <v>2015</v>
      </c>
    </row>
    <row r="119" spans="2:14" x14ac:dyDescent="0.35">
      <c r="B119" t="s">
        <v>138</v>
      </c>
      <c r="C119" t="s">
        <v>100</v>
      </c>
      <c r="D119">
        <v>117</v>
      </c>
      <c r="E119">
        <v>4.5650000000000004</v>
      </c>
      <c r="F119">
        <v>2.043E-2</v>
      </c>
      <c r="G119">
        <v>0.64498999999999995</v>
      </c>
      <c r="H119">
        <v>0.38174000000000002</v>
      </c>
      <c r="I119">
        <v>0.51529000000000003</v>
      </c>
      <c r="J119">
        <v>0.39785999999999999</v>
      </c>
      <c r="K119">
        <v>8.4919999999999995E-2</v>
      </c>
      <c r="L119">
        <v>0.26474999999999999</v>
      </c>
      <c r="M119">
        <v>2.2751299999999999</v>
      </c>
      <c r="N119">
        <v>2015</v>
      </c>
    </row>
    <row r="120" spans="2:14" x14ac:dyDescent="0.35">
      <c r="B120" t="s">
        <v>139</v>
      </c>
      <c r="C120" t="s">
        <v>91</v>
      </c>
      <c r="D120">
        <v>118</v>
      </c>
      <c r="E120">
        <v>4.55</v>
      </c>
      <c r="F120">
        <v>6.7400000000000002E-2</v>
      </c>
      <c r="G120">
        <v>0.52107000000000003</v>
      </c>
      <c r="H120">
        <v>1.0140400000000001</v>
      </c>
      <c r="I120">
        <v>0.36878</v>
      </c>
      <c r="J120">
        <v>0.10081</v>
      </c>
      <c r="K120">
        <v>0.14660000000000001</v>
      </c>
      <c r="L120">
        <v>0.19062000000000001</v>
      </c>
      <c r="M120">
        <v>2.2085699999999999</v>
      </c>
      <c r="N120">
        <v>2015</v>
      </c>
    </row>
    <row r="121" spans="2:14" x14ac:dyDescent="0.35">
      <c r="B121" t="s">
        <v>140</v>
      </c>
      <c r="C121" t="s">
        <v>28</v>
      </c>
      <c r="D121">
        <v>119</v>
      </c>
      <c r="E121">
        <v>4.5179999999999998</v>
      </c>
      <c r="F121">
        <v>7.331E-2</v>
      </c>
      <c r="G121">
        <v>0.26673000000000002</v>
      </c>
      <c r="H121">
        <v>0.74302000000000001</v>
      </c>
      <c r="I121">
        <v>0.38846999999999998</v>
      </c>
      <c r="J121">
        <v>0.24424999999999999</v>
      </c>
      <c r="K121">
        <v>0.17175000000000001</v>
      </c>
      <c r="L121">
        <v>0.46187</v>
      </c>
      <c r="M121">
        <v>2.24173</v>
      </c>
      <c r="N121">
        <v>2015</v>
      </c>
    </row>
    <row r="122" spans="2:14" x14ac:dyDescent="0.35">
      <c r="B122" t="s">
        <v>141</v>
      </c>
      <c r="C122" t="s">
        <v>91</v>
      </c>
      <c r="D122">
        <v>120</v>
      </c>
      <c r="E122">
        <v>4.5170000000000003</v>
      </c>
      <c r="F122">
        <v>3.6799999999999999E-2</v>
      </c>
      <c r="G122">
        <v>0</v>
      </c>
      <c r="H122">
        <v>1.0012000000000001</v>
      </c>
      <c r="I122">
        <v>9.8059999999999994E-2</v>
      </c>
      <c r="J122">
        <v>0.22605</v>
      </c>
      <c r="K122">
        <v>7.6249999999999998E-2</v>
      </c>
      <c r="L122">
        <v>0.24834000000000001</v>
      </c>
      <c r="M122">
        <v>2.8671199999999999</v>
      </c>
      <c r="N122">
        <v>2015</v>
      </c>
    </row>
    <row r="123" spans="2:14" x14ac:dyDescent="0.35">
      <c r="B123" t="s">
        <v>142</v>
      </c>
      <c r="C123" t="s">
        <v>100</v>
      </c>
      <c r="D123">
        <v>121</v>
      </c>
      <c r="E123">
        <v>4.5140000000000002</v>
      </c>
      <c r="F123">
        <v>3.6069999999999998E-2</v>
      </c>
      <c r="G123">
        <v>0.35997000000000001</v>
      </c>
      <c r="H123">
        <v>0.86448999999999998</v>
      </c>
      <c r="I123">
        <v>0.56874000000000002</v>
      </c>
      <c r="J123">
        <v>0.38281999999999999</v>
      </c>
      <c r="K123">
        <v>5.9069999999999998E-2</v>
      </c>
      <c r="L123">
        <v>0.32296000000000002</v>
      </c>
      <c r="M123">
        <v>1.9563699999999999</v>
      </c>
      <c r="N123">
        <v>2015</v>
      </c>
    </row>
    <row r="124" spans="2:14" x14ac:dyDescent="0.35">
      <c r="B124" t="s">
        <v>143</v>
      </c>
      <c r="C124" t="s">
        <v>91</v>
      </c>
      <c r="D124">
        <v>122</v>
      </c>
      <c r="E124">
        <v>4.5119999999999996</v>
      </c>
      <c r="F124">
        <v>3.78E-2</v>
      </c>
      <c r="G124">
        <v>0.19073000000000001</v>
      </c>
      <c r="H124">
        <v>0.60406000000000004</v>
      </c>
      <c r="I124">
        <v>0.44055</v>
      </c>
      <c r="J124">
        <v>0.4345</v>
      </c>
      <c r="K124">
        <v>0.15048</v>
      </c>
      <c r="L124">
        <v>0.24324999999999999</v>
      </c>
      <c r="M124">
        <v>2.44876</v>
      </c>
      <c r="N124">
        <v>2015</v>
      </c>
    </row>
    <row r="125" spans="2:14" x14ac:dyDescent="0.35">
      <c r="B125" t="s">
        <v>144</v>
      </c>
      <c r="C125" t="s">
        <v>91</v>
      </c>
      <c r="D125">
        <v>123</v>
      </c>
      <c r="E125">
        <v>4.5069999999999997</v>
      </c>
      <c r="F125">
        <v>7.0680000000000007E-2</v>
      </c>
      <c r="G125">
        <v>0.33023999999999998</v>
      </c>
      <c r="H125">
        <v>0.95570999999999995</v>
      </c>
      <c r="I125">
        <v>0</v>
      </c>
      <c r="J125">
        <v>0.40839999999999999</v>
      </c>
      <c r="K125">
        <v>8.7859999999999994E-2</v>
      </c>
      <c r="L125">
        <v>0.21487999999999999</v>
      </c>
      <c r="M125">
        <v>2.5100899999999999</v>
      </c>
      <c r="N125">
        <v>2015</v>
      </c>
    </row>
    <row r="126" spans="2:14" x14ac:dyDescent="0.35">
      <c r="B126" t="s">
        <v>145</v>
      </c>
      <c r="C126" t="s">
        <v>91</v>
      </c>
      <c r="D126">
        <v>124</v>
      </c>
      <c r="E126">
        <v>4.4359999999999999</v>
      </c>
      <c r="F126">
        <v>3.9469999999999998E-2</v>
      </c>
      <c r="G126">
        <v>0.45406999999999997</v>
      </c>
      <c r="H126">
        <v>0.86907999999999996</v>
      </c>
      <c r="I126">
        <v>0.35874</v>
      </c>
      <c r="J126">
        <v>0.24232000000000001</v>
      </c>
      <c r="K126">
        <v>0.17460999999999999</v>
      </c>
      <c r="L126">
        <v>0.219</v>
      </c>
      <c r="M126">
        <v>2.1177299999999999</v>
      </c>
      <c r="N126">
        <v>2015</v>
      </c>
    </row>
    <row r="127" spans="2:14" x14ac:dyDescent="0.35">
      <c r="B127" t="s">
        <v>146</v>
      </c>
      <c r="C127" t="s">
        <v>91</v>
      </c>
      <c r="D127">
        <v>125</v>
      </c>
      <c r="E127">
        <v>4.4189999999999996</v>
      </c>
      <c r="F127">
        <v>4.734E-2</v>
      </c>
      <c r="G127">
        <v>0.36470999999999998</v>
      </c>
      <c r="H127">
        <v>0.99875999999999998</v>
      </c>
      <c r="I127">
        <v>0.41435</v>
      </c>
      <c r="J127">
        <v>0.42215000000000003</v>
      </c>
      <c r="K127">
        <v>5.8389999999999997E-2</v>
      </c>
      <c r="L127">
        <v>0.37541999999999998</v>
      </c>
      <c r="M127">
        <v>1.78555</v>
      </c>
      <c r="N127">
        <v>2015</v>
      </c>
    </row>
    <row r="128" spans="2:14" x14ac:dyDescent="0.35">
      <c r="B128" t="s">
        <v>147</v>
      </c>
      <c r="C128" t="s">
        <v>91</v>
      </c>
      <c r="D128">
        <v>126</v>
      </c>
      <c r="E128">
        <v>4.3689999999999998</v>
      </c>
      <c r="F128">
        <v>8.0960000000000004E-2</v>
      </c>
      <c r="G128">
        <v>0.44024999999999997</v>
      </c>
      <c r="H128">
        <v>0.59206999999999999</v>
      </c>
      <c r="I128">
        <v>0.36291000000000001</v>
      </c>
      <c r="J128">
        <v>0.46073999999999998</v>
      </c>
      <c r="K128">
        <v>0.28105000000000002</v>
      </c>
      <c r="L128">
        <v>0.18093000000000001</v>
      </c>
      <c r="M128">
        <v>2.05125</v>
      </c>
      <c r="N128">
        <v>2015</v>
      </c>
    </row>
    <row r="129" spans="2:14" x14ac:dyDescent="0.35">
      <c r="B129" t="s">
        <v>148</v>
      </c>
      <c r="C129" t="s">
        <v>49</v>
      </c>
      <c r="D129">
        <v>127</v>
      </c>
      <c r="E129">
        <v>4.3499999999999996</v>
      </c>
      <c r="F129">
        <v>4.7629999999999999E-2</v>
      </c>
      <c r="G129">
        <v>0.76820999999999995</v>
      </c>
      <c r="H129">
        <v>0.77710999999999997</v>
      </c>
      <c r="I129">
        <v>0.72989999999999999</v>
      </c>
      <c r="J129">
        <v>0.19847000000000001</v>
      </c>
      <c r="K129">
        <v>3.9E-2</v>
      </c>
      <c r="L129">
        <v>7.8549999999999995E-2</v>
      </c>
      <c r="M129">
        <v>1.7587299999999999</v>
      </c>
      <c r="N129">
        <v>2015</v>
      </c>
    </row>
    <row r="130" spans="2:14" x14ac:dyDescent="0.35">
      <c r="B130" t="s">
        <v>149</v>
      </c>
      <c r="C130" t="s">
        <v>91</v>
      </c>
      <c r="D130">
        <v>128</v>
      </c>
      <c r="E130">
        <v>4.3319999999999999</v>
      </c>
      <c r="F130">
        <v>4.9340000000000002E-2</v>
      </c>
      <c r="G130">
        <v>0.99355000000000004</v>
      </c>
      <c r="H130">
        <v>1.1046400000000001</v>
      </c>
      <c r="I130">
        <v>4.7759999999999997E-2</v>
      </c>
      <c r="J130">
        <v>0.49495</v>
      </c>
      <c r="K130">
        <v>0.12474</v>
      </c>
      <c r="L130">
        <v>0.10460999999999999</v>
      </c>
      <c r="M130">
        <v>1.4618100000000001</v>
      </c>
      <c r="N130">
        <v>2015</v>
      </c>
    </row>
    <row r="131" spans="2:14" x14ac:dyDescent="0.35">
      <c r="B131" t="s">
        <v>150</v>
      </c>
      <c r="C131" t="s">
        <v>41</v>
      </c>
      <c r="D131">
        <v>129</v>
      </c>
      <c r="E131">
        <v>4.3070000000000004</v>
      </c>
      <c r="F131">
        <v>4.351E-2</v>
      </c>
      <c r="G131">
        <v>0.27107999999999999</v>
      </c>
      <c r="H131">
        <v>0.70904999999999996</v>
      </c>
      <c r="I131">
        <v>0.48246</v>
      </c>
      <c r="J131">
        <v>0.44017000000000001</v>
      </c>
      <c r="K131">
        <v>0.19034000000000001</v>
      </c>
      <c r="L131">
        <v>0.79588000000000003</v>
      </c>
      <c r="M131">
        <v>1.41805</v>
      </c>
      <c r="N131">
        <v>2015</v>
      </c>
    </row>
    <row r="132" spans="2:14" x14ac:dyDescent="0.35">
      <c r="B132" t="s">
        <v>151</v>
      </c>
      <c r="C132" t="s">
        <v>49</v>
      </c>
      <c r="D132">
        <v>130</v>
      </c>
      <c r="E132">
        <v>4.2969999999999997</v>
      </c>
      <c r="F132">
        <v>4.2209999999999998E-2</v>
      </c>
      <c r="G132">
        <v>0.7419</v>
      </c>
      <c r="H132">
        <v>0.38562000000000002</v>
      </c>
      <c r="I132">
        <v>0.72926000000000002</v>
      </c>
      <c r="J132">
        <v>0.40577000000000002</v>
      </c>
      <c r="K132">
        <v>0.38330999999999998</v>
      </c>
      <c r="L132">
        <v>5.5469999999999998E-2</v>
      </c>
      <c r="M132">
        <v>1.59541</v>
      </c>
      <c r="N132">
        <v>2015</v>
      </c>
    </row>
    <row r="133" spans="2:14" x14ac:dyDescent="0.35">
      <c r="B133" t="s">
        <v>152</v>
      </c>
      <c r="C133" t="s">
        <v>91</v>
      </c>
      <c r="D133">
        <v>131</v>
      </c>
      <c r="E133">
        <v>4.2919999999999998</v>
      </c>
      <c r="F133">
        <v>6.13E-2</v>
      </c>
      <c r="G133">
        <v>1.6039999999999999E-2</v>
      </c>
      <c r="H133">
        <v>0.41133999999999998</v>
      </c>
      <c r="I133">
        <v>0.22561999999999999</v>
      </c>
      <c r="J133">
        <v>0.43053999999999998</v>
      </c>
      <c r="K133">
        <v>6.9769999999999999E-2</v>
      </c>
      <c r="L133">
        <v>0.33128000000000002</v>
      </c>
      <c r="M133">
        <v>2.8079100000000001</v>
      </c>
      <c r="N133">
        <v>2015</v>
      </c>
    </row>
    <row r="134" spans="2:14" x14ac:dyDescent="0.35">
      <c r="B134" t="s">
        <v>153</v>
      </c>
      <c r="C134" t="s">
        <v>100</v>
      </c>
      <c r="D134">
        <v>132</v>
      </c>
      <c r="E134">
        <v>4.2709999999999999</v>
      </c>
      <c r="F134">
        <v>3.7510000000000002E-2</v>
      </c>
      <c r="G134">
        <v>0.83523999999999998</v>
      </c>
      <c r="H134">
        <v>1.01905</v>
      </c>
      <c r="I134">
        <v>0.70806000000000002</v>
      </c>
      <c r="J134">
        <v>0.53725999999999996</v>
      </c>
      <c r="K134">
        <v>9.1789999999999997E-2</v>
      </c>
      <c r="L134">
        <v>0.40827999999999998</v>
      </c>
      <c r="M134">
        <v>0.67108000000000001</v>
      </c>
      <c r="N134">
        <v>2015</v>
      </c>
    </row>
    <row r="135" spans="2:14" x14ac:dyDescent="0.35">
      <c r="B135" t="s">
        <v>154</v>
      </c>
      <c r="C135" t="s">
        <v>91</v>
      </c>
      <c r="D135">
        <v>133</v>
      </c>
      <c r="E135">
        <v>4.2519999999999998</v>
      </c>
      <c r="F135">
        <v>4.6780000000000002E-2</v>
      </c>
      <c r="G135">
        <v>0.42249999999999999</v>
      </c>
      <c r="H135">
        <v>0.88766999999999996</v>
      </c>
      <c r="I135">
        <v>0.23402000000000001</v>
      </c>
      <c r="J135">
        <v>0.49308999999999997</v>
      </c>
      <c r="K135">
        <v>5.7860000000000002E-2</v>
      </c>
      <c r="L135">
        <v>0.20618</v>
      </c>
      <c r="M135">
        <v>1.9507099999999999</v>
      </c>
      <c r="N135">
        <v>2015</v>
      </c>
    </row>
    <row r="136" spans="2:14" x14ac:dyDescent="0.35">
      <c r="B136" t="s">
        <v>155</v>
      </c>
      <c r="C136" t="s">
        <v>49</v>
      </c>
      <c r="D136">
        <v>134</v>
      </c>
      <c r="E136">
        <v>4.218</v>
      </c>
      <c r="F136">
        <v>4.8280000000000003E-2</v>
      </c>
      <c r="G136">
        <v>1.0121599999999999</v>
      </c>
      <c r="H136">
        <v>1.1061399999999999</v>
      </c>
      <c r="I136">
        <v>0.76649</v>
      </c>
      <c r="J136">
        <v>0.30586999999999998</v>
      </c>
      <c r="K136">
        <v>8.7200000000000003E-3</v>
      </c>
      <c r="L136">
        <v>0.11921</v>
      </c>
      <c r="M136">
        <v>0.89990999999999999</v>
      </c>
      <c r="N136">
        <v>2015</v>
      </c>
    </row>
    <row r="137" spans="2:14" x14ac:dyDescent="0.35">
      <c r="B137" t="s">
        <v>156</v>
      </c>
      <c r="C137" t="s">
        <v>26</v>
      </c>
      <c r="D137">
        <v>135</v>
      </c>
      <c r="E137">
        <v>4.194</v>
      </c>
      <c r="F137">
        <v>3.2599999999999997E-2</v>
      </c>
      <c r="G137">
        <v>0.88180000000000003</v>
      </c>
      <c r="H137">
        <v>0.747</v>
      </c>
      <c r="I137">
        <v>0.61712</v>
      </c>
      <c r="J137">
        <v>0.17288000000000001</v>
      </c>
      <c r="K137">
        <v>6.3240000000000005E-2</v>
      </c>
      <c r="L137">
        <v>0.11291</v>
      </c>
      <c r="M137">
        <v>1.59927</v>
      </c>
      <c r="N137">
        <v>2015</v>
      </c>
    </row>
    <row r="138" spans="2:14" x14ac:dyDescent="0.35">
      <c r="B138" t="s">
        <v>157</v>
      </c>
      <c r="C138" t="s">
        <v>26</v>
      </c>
      <c r="D138">
        <v>136</v>
      </c>
      <c r="E138">
        <v>4.077</v>
      </c>
      <c r="F138">
        <v>4.367E-2</v>
      </c>
      <c r="G138">
        <v>0.54649000000000003</v>
      </c>
      <c r="H138">
        <v>0.68093000000000004</v>
      </c>
      <c r="I138">
        <v>0.40064</v>
      </c>
      <c r="J138">
        <v>0.35571000000000003</v>
      </c>
      <c r="K138">
        <v>7.8539999999999999E-2</v>
      </c>
      <c r="L138">
        <v>9.1310000000000002E-2</v>
      </c>
      <c r="M138">
        <v>1.92313</v>
      </c>
      <c r="N138">
        <v>2015</v>
      </c>
    </row>
    <row r="139" spans="2:14" x14ac:dyDescent="0.35">
      <c r="B139" t="s">
        <v>158</v>
      </c>
      <c r="C139" t="s">
        <v>91</v>
      </c>
      <c r="D139">
        <v>137</v>
      </c>
      <c r="E139">
        <v>4.0330000000000004</v>
      </c>
      <c r="F139">
        <v>4.7579999999999997E-2</v>
      </c>
      <c r="G139">
        <v>0.75778000000000001</v>
      </c>
      <c r="H139">
        <v>0.86040000000000005</v>
      </c>
      <c r="I139">
        <v>0.16683000000000001</v>
      </c>
      <c r="J139">
        <v>0.10384</v>
      </c>
      <c r="K139">
        <v>7.1220000000000006E-2</v>
      </c>
      <c r="L139">
        <v>0.12343999999999999</v>
      </c>
      <c r="M139">
        <v>1.94939</v>
      </c>
      <c r="N139">
        <v>2015</v>
      </c>
    </row>
    <row r="140" spans="2:14" x14ac:dyDescent="0.35">
      <c r="B140" t="s">
        <v>159</v>
      </c>
      <c r="C140" t="s">
        <v>91</v>
      </c>
      <c r="D140">
        <v>138</v>
      </c>
      <c r="E140">
        <v>3.9950000000000001</v>
      </c>
      <c r="F140">
        <v>5.602E-2</v>
      </c>
      <c r="G140">
        <v>0.26074000000000003</v>
      </c>
      <c r="H140">
        <v>1.0352600000000001</v>
      </c>
      <c r="I140">
        <v>0.20583000000000001</v>
      </c>
      <c r="J140">
        <v>0.38857000000000003</v>
      </c>
      <c r="K140">
        <v>0.12352</v>
      </c>
      <c r="L140">
        <v>0.18798000000000001</v>
      </c>
      <c r="M140">
        <v>1.7929299999999999</v>
      </c>
      <c r="N140">
        <v>2015</v>
      </c>
    </row>
    <row r="141" spans="2:14" x14ac:dyDescent="0.35">
      <c r="B141" t="s">
        <v>160</v>
      </c>
      <c r="C141" t="s">
        <v>91</v>
      </c>
      <c r="D141">
        <v>139</v>
      </c>
      <c r="E141">
        <v>3.9889999999999999</v>
      </c>
      <c r="F141">
        <v>6.6820000000000004E-2</v>
      </c>
      <c r="G141">
        <v>0.67866000000000004</v>
      </c>
      <c r="H141">
        <v>0.66290000000000004</v>
      </c>
      <c r="I141">
        <v>0.31051000000000001</v>
      </c>
      <c r="J141">
        <v>0.41465999999999997</v>
      </c>
      <c r="K141">
        <v>0.11686000000000001</v>
      </c>
      <c r="L141">
        <v>0.12388</v>
      </c>
      <c r="M141">
        <v>1.6813499999999999</v>
      </c>
      <c r="N141">
        <v>2015</v>
      </c>
    </row>
    <row r="142" spans="2:14" x14ac:dyDescent="0.35">
      <c r="B142" t="s">
        <v>161</v>
      </c>
      <c r="C142" t="s">
        <v>91</v>
      </c>
      <c r="D142">
        <v>140</v>
      </c>
      <c r="E142">
        <v>3.956</v>
      </c>
      <c r="F142">
        <v>4.7969999999999999E-2</v>
      </c>
      <c r="G142">
        <v>0.23905999999999999</v>
      </c>
      <c r="H142">
        <v>0.79273000000000005</v>
      </c>
      <c r="I142">
        <v>0.36314999999999997</v>
      </c>
      <c r="J142">
        <v>0.22917000000000001</v>
      </c>
      <c r="K142">
        <v>0.19900000000000001</v>
      </c>
      <c r="L142">
        <v>0.17441000000000001</v>
      </c>
      <c r="M142">
        <v>1.9581200000000001</v>
      </c>
      <c r="N142">
        <v>2015</v>
      </c>
    </row>
    <row r="143" spans="2:14" x14ac:dyDescent="0.35">
      <c r="B143" t="s">
        <v>162</v>
      </c>
      <c r="C143" t="s">
        <v>91</v>
      </c>
      <c r="D143">
        <v>141</v>
      </c>
      <c r="E143">
        <v>3.931</v>
      </c>
      <c r="F143">
        <v>4.317E-2</v>
      </c>
      <c r="G143">
        <v>0.21102000000000001</v>
      </c>
      <c r="H143">
        <v>1.1329899999999999</v>
      </c>
      <c r="I143">
        <v>0.33861000000000002</v>
      </c>
      <c r="J143">
        <v>0.45727000000000001</v>
      </c>
      <c r="K143">
        <v>7.2669999999999998E-2</v>
      </c>
      <c r="L143">
        <v>0.29065999999999997</v>
      </c>
      <c r="M143">
        <v>1.4276599999999999</v>
      </c>
      <c r="N143">
        <v>2015</v>
      </c>
    </row>
    <row r="144" spans="2:14" x14ac:dyDescent="0.35">
      <c r="B144" t="s">
        <v>163</v>
      </c>
      <c r="C144" t="s">
        <v>91</v>
      </c>
      <c r="D144">
        <v>142</v>
      </c>
      <c r="E144">
        <v>3.9039999999999999</v>
      </c>
      <c r="F144">
        <v>3.6080000000000001E-2</v>
      </c>
      <c r="G144">
        <v>0.36498000000000003</v>
      </c>
      <c r="H144">
        <v>0.97619</v>
      </c>
      <c r="I144">
        <v>0.43540000000000001</v>
      </c>
      <c r="J144">
        <v>0.36771999999999999</v>
      </c>
      <c r="K144">
        <v>0.10713</v>
      </c>
      <c r="L144">
        <v>0.20843</v>
      </c>
      <c r="M144">
        <v>1.4439500000000001</v>
      </c>
      <c r="N144">
        <v>2015</v>
      </c>
    </row>
    <row r="145" spans="2:14" x14ac:dyDescent="0.35">
      <c r="B145" t="s">
        <v>164</v>
      </c>
      <c r="C145" t="s">
        <v>91</v>
      </c>
      <c r="D145">
        <v>143</v>
      </c>
      <c r="E145">
        <v>3.8959999999999999</v>
      </c>
      <c r="F145">
        <v>4.5469999999999997E-2</v>
      </c>
      <c r="G145">
        <v>1.0602400000000001</v>
      </c>
      <c r="H145">
        <v>0.90527999999999997</v>
      </c>
      <c r="I145">
        <v>0.43371999999999999</v>
      </c>
      <c r="J145">
        <v>0.31913999999999998</v>
      </c>
      <c r="K145">
        <v>0.11090999999999999</v>
      </c>
      <c r="L145">
        <v>6.8220000000000003E-2</v>
      </c>
      <c r="M145">
        <v>0.99895</v>
      </c>
      <c r="N145">
        <v>2015</v>
      </c>
    </row>
    <row r="146" spans="2:14" x14ac:dyDescent="0.35">
      <c r="B146" t="s">
        <v>165</v>
      </c>
      <c r="C146" t="s">
        <v>91</v>
      </c>
      <c r="D146">
        <v>144</v>
      </c>
      <c r="E146">
        <v>3.8450000000000002</v>
      </c>
      <c r="F146">
        <v>3.6020000000000003E-2</v>
      </c>
      <c r="G146">
        <v>6.9400000000000003E-2</v>
      </c>
      <c r="H146">
        <v>0.77264999999999995</v>
      </c>
      <c r="I146">
        <v>0.29707</v>
      </c>
      <c r="J146">
        <v>0.47692000000000001</v>
      </c>
      <c r="K146">
        <v>0.15639</v>
      </c>
      <c r="L146">
        <v>0.19386999999999999</v>
      </c>
      <c r="M146">
        <v>1.8787700000000001</v>
      </c>
      <c r="N146">
        <v>2015</v>
      </c>
    </row>
    <row r="147" spans="2:14" x14ac:dyDescent="0.35">
      <c r="B147" t="s">
        <v>166</v>
      </c>
      <c r="C147" t="s">
        <v>41</v>
      </c>
      <c r="D147">
        <v>145</v>
      </c>
      <c r="E147">
        <v>3.819</v>
      </c>
      <c r="F147">
        <v>5.0689999999999999E-2</v>
      </c>
      <c r="G147">
        <v>0.46038000000000001</v>
      </c>
      <c r="H147">
        <v>0.62736000000000003</v>
      </c>
      <c r="I147">
        <v>0.61114000000000002</v>
      </c>
      <c r="J147">
        <v>0.66246000000000005</v>
      </c>
      <c r="K147">
        <v>7.2470000000000007E-2</v>
      </c>
      <c r="L147">
        <v>0.40359</v>
      </c>
      <c r="M147">
        <v>0.98194999999999999</v>
      </c>
      <c r="N147">
        <v>2015</v>
      </c>
    </row>
    <row r="148" spans="2:14" x14ac:dyDescent="0.35">
      <c r="B148" t="s">
        <v>167</v>
      </c>
      <c r="C148" t="s">
        <v>91</v>
      </c>
      <c r="D148">
        <v>146</v>
      </c>
      <c r="E148">
        <v>3.7810000000000001</v>
      </c>
      <c r="F148">
        <v>5.0610000000000002E-2</v>
      </c>
      <c r="G148">
        <v>0.28520000000000001</v>
      </c>
      <c r="H148">
        <v>1.00268</v>
      </c>
      <c r="I148">
        <v>0.38214999999999999</v>
      </c>
      <c r="J148">
        <v>0.32878000000000002</v>
      </c>
      <c r="K148">
        <v>5.747E-2</v>
      </c>
      <c r="L148">
        <v>0.34377000000000002</v>
      </c>
      <c r="M148">
        <v>1.38079</v>
      </c>
      <c r="N148">
        <v>2015</v>
      </c>
    </row>
    <row r="149" spans="2:14" x14ac:dyDescent="0.35">
      <c r="B149" t="s">
        <v>168</v>
      </c>
      <c r="C149" t="s">
        <v>91</v>
      </c>
      <c r="D149">
        <v>147</v>
      </c>
      <c r="E149">
        <v>3.681</v>
      </c>
      <c r="F149">
        <v>3.6330000000000001E-2</v>
      </c>
      <c r="G149">
        <v>0.20824000000000001</v>
      </c>
      <c r="H149">
        <v>0.66800999999999999</v>
      </c>
      <c r="I149">
        <v>0.46721000000000001</v>
      </c>
      <c r="J149">
        <v>0.19184000000000001</v>
      </c>
      <c r="K149">
        <v>8.1240000000000007E-2</v>
      </c>
      <c r="L149">
        <v>0.21332999999999999</v>
      </c>
      <c r="M149">
        <v>1.851</v>
      </c>
      <c r="N149">
        <v>2015</v>
      </c>
    </row>
    <row r="150" spans="2:14" x14ac:dyDescent="0.35">
      <c r="B150" t="s">
        <v>169</v>
      </c>
      <c r="C150" t="s">
        <v>91</v>
      </c>
      <c r="D150">
        <v>148</v>
      </c>
      <c r="E150">
        <v>3.6779999999999999</v>
      </c>
      <c r="F150">
        <v>6.1120000000000001E-2</v>
      </c>
      <c r="G150">
        <v>7.85E-2</v>
      </c>
      <c r="H150">
        <v>0</v>
      </c>
      <c r="I150">
        <v>6.6989999999999994E-2</v>
      </c>
      <c r="J150">
        <v>0.48879</v>
      </c>
      <c r="K150">
        <v>8.2890000000000005E-2</v>
      </c>
      <c r="L150">
        <v>0.23835000000000001</v>
      </c>
      <c r="M150">
        <v>2.7223000000000002</v>
      </c>
      <c r="N150">
        <v>2015</v>
      </c>
    </row>
    <row r="151" spans="2:14" x14ac:dyDescent="0.35">
      <c r="B151" t="s">
        <v>170</v>
      </c>
      <c r="C151" t="s">
        <v>91</v>
      </c>
      <c r="D151">
        <v>149</v>
      </c>
      <c r="E151">
        <v>3.6669999999999998</v>
      </c>
      <c r="F151">
        <v>3.8300000000000001E-2</v>
      </c>
      <c r="G151">
        <v>0.34193000000000001</v>
      </c>
      <c r="H151">
        <v>0.76061999999999996</v>
      </c>
      <c r="I151">
        <v>0.15010000000000001</v>
      </c>
      <c r="J151">
        <v>0.23501</v>
      </c>
      <c r="K151">
        <v>5.2690000000000001E-2</v>
      </c>
      <c r="L151">
        <v>0.18386</v>
      </c>
      <c r="M151">
        <v>1.94296</v>
      </c>
      <c r="N151">
        <v>2015</v>
      </c>
    </row>
    <row r="152" spans="2:14" x14ac:dyDescent="0.35">
      <c r="B152" t="s">
        <v>171</v>
      </c>
      <c r="C152" t="s">
        <v>91</v>
      </c>
      <c r="D152">
        <v>150</v>
      </c>
      <c r="E152">
        <v>3.6560000000000001</v>
      </c>
      <c r="F152">
        <v>3.5900000000000001E-2</v>
      </c>
      <c r="G152">
        <v>0.17416999999999999</v>
      </c>
      <c r="H152">
        <v>0.46475</v>
      </c>
      <c r="I152">
        <v>0.24009</v>
      </c>
      <c r="J152">
        <v>0.37724999999999997</v>
      </c>
      <c r="K152">
        <v>0.12139</v>
      </c>
      <c r="L152">
        <v>0.28656999999999999</v>
      </c>
      <c r="M152">
        <v>1.9917199999999999</v>
      </c>
      <c r="N152">
        <v>2015</v>
      </c>
    </row>
    <row r="153" spans="2:14" x14ac:dyDescent="0.35">
      <c r="B153" t="s">
        <v>172</v>
      </c>
      <c r="C153" t="s">
        <v>91</v>
      </c>
      <c r="D153">
        <v>151</v>
      </c>
      <c r="E153">
        <v>3.6549999999999998</v>
      </c>
      <c r="F153">
        <v>5.1409999999999997E-2</v>
      </c>
      <c r="G153">
        <v>0.46533999999999998</v>
      </c>
      <c r="H153">
        <v>0.77115</v>
      </c>
      <c r="I153">
        <v>0.15185000000000001</v>
      </c>
      <c r="J153">
        <v>0.46866000000000002</v>
      </c>
      <c r="K153">
        <v>0.17921999999999999</v>
      </c>
      <c r="L153">
        <v>0.20165</v>
      </c>
      <c r="M153">
        <v>1.41723</v>
      </c>
      <c r="N153">
        <v>2015</v>
      </c>
    </row>
    <row r="154" spans="2:14" x14ac:dyDescent="0.35">
      <c r="B154" t="s">
        <v>173</v>
      </c>
      <c r="C154" t="s">
        <v>91</v>
      </c>
      <c r="D154">
        <v>152</v>
      </c>
      <c r="E154">
        <v>3.5870000000000002</v>
      </c>
      <c r="F154">
        <v>4.3240000000000001E-2</v>
      </c>
      <c r="G154">
        <v>0.25812000000000002</v>
      </c>
      <c r="H154">
        <v>0.85187999999999997</v>
      </c>
      <c r="I154">
        <v>0.27124999999999999</v>
      </c>
      <c r="J154">
        <v>0.39493</v>
      </c>
      <c r="K154">
        <v>0.12831999999999999</v>
      </c>
      <c r="L154">
        <v>0.21747</v>
      </c>
      <c r="M154">
        <v>1.4649399999999999</v>
      </c>
      <c r="N154">
        <v>2015</v>
      </c>
    </row>
    <row r="155" spans="2:14" x14ac:dyDescent="0.35">
      <c r="B155" t="s">
        <v>174</v>
      </c>
      <c r="C155" t="s">
        <v>100</v>
      </c>
      <c r="D155">
        <v>153</v>
      </c>
      <c r="E155">
        <v>3.5750000000000002</v>
      </c>
      <c r="F155">
        <v>3.0839999999999999E-2</v>
      </c>
      <c r="G155">
        <v>0.31981999999999999</v>
      </c>
      <c r="H155">
        <v>0.30285000000000001</v>
      </c>
      <c r="I155">
        <v>0.30335000000000001</v>
      </c>
      <c r="J155">
        <v>0.23413999999999999</v>
      </c>
      <c r="K155">
        <v>9.7189999999999999E-2</v>
      </c>
      <c r="L155">
        <v>0.36509999999999998</v>
      </c>
      <c r="M155">
        <v>1.9520999999999999</v>
      </c>
      <c r="N155">
        <v>2015</v>
      </c>
    </row>
    <row r="156" spans="2:14" x14ac:dyDescent="0.35">
      <c r="B156" t="s">
        <v>175</v>
      </c>
      <c r="C156" t="s">
        <v>91</v>
      </c>
      <c r="D156">
        <v>154</v>
      </c>
      <c r="E156">
        <v>3.4649999999999999</v>
      </c>
      <c r="F156">
        <v>3.4639999999999997E-2</v>
      </c>
      <c r="G156">
        <v>0.22208</v>
      </c>
      <c r="H156">
        <v>0.77370000000000005</v>
      </c>
      <c r="I156">
        <v>0.42864000000000002</v>
      </c>
      <c r="J156">
        <v>0.59201000000000004</v>
      </c>
      <c r="K156">
        <v>0.55191000000000001</v>
      </c>
      <c r="L156">
        <v>0.22628000000000001</v>
      </c>
      <c r="M156">
        <v>0.67042000000000002</v>
      </c>
      <c r="N156">
        <v>2015</v>
      </c>
    </row>
    <row r="157" spans="2:14" x14ac:dyDescent="0.35">
      <c r="B157" t="s">
        <v>176</v>
      </c>
      <c r="C157" t="s">
        <v>91</v>
      </c>
      <c r="D157">
        <v>155</v>
      </c>
      <c r="E157">
        <v>3.34</v>
      </c>
      <c r="F157">
        <v>3.6560000000000002E-2</v>
      </c>
      <c r="G157">
        <v>0.28665000000000002</v>
      </c>
      <c r="H157">
        <v>0.35386000000000001</v>
      </c>
      <c r="I157">
        <v>0.31909999999999999</v>
      </c>
      <c r="J157">
        <v>0.48449999999999999</v>
      </c>
      <c r="K157">
        <v>8.0100000000000005E-2</v>
      </c>
      <c r="L157">
        <v>0.18260000000000001</v>
      </c>
      <c r="M157">
        <v>1.6332800000000001</v>
      </c>
      <c r="N157">
        <v>2015</v>
      </c>
    </row>
    <row r="158" spans="2:14" x14ac:dyDescent="0.35">
      <c r="B158" t="s">
        <v>177</v>
      </c>
      <c r="C158" t="s">
        <v>26</v>
      </c>
      <c r="D158">
        <v>156</v>
      </c>
      <c r="E158">
        <v>3.0059999999999998</v>
      </c>
      <c r="F158">
        <v>5.015E-2</v>
      </c>
      <c r="G158">
        <v>0.66320000000000001</v>
      </c>
      <c r="H158">
        <v>0.47488999999999998</v>
      </c>
      <c r="I158">
        <v>0.72192999999999996</v>
      </c>
      <c r="J158">
        <v>0.15684000000000001</v>
      </c>
      <c r="K158">
        <v>0.18906000000000001</v>
      </c>
      <c r="L158">
        <v>0.47178999999999999</v>
      </c>
      <c r="M158">
        <v>0.32857999999999998</v>
      </c>
      <c r="N158">
        <v>2015</v>
      </c>
    </row>
    <row r="159" spans="2:14" x14ac:dyDescent="0.35">
      <c r="B159" t="s">
        <v>178</v>
      </c>
      <c r="C159" t="s">
        <v>91</v>
      </c>
      <c r="D159">
        <v>157</v>
      </c>
      <c r="E159">
        <v>2.9049999999999998</v>
      </c>
      <c r="F159">
        <v>8.6580000000000004E-2</v>
      </c>
      <c r="G159">
        <v>1.5299999999999999E-2</v>
      </c>
      <c r="H159">
        <v>0.41587000000000002</v>
      </c>
      <c r="I159">
        <v>0.22395999999999999</v>
      </c>
      <c r="J159">
        <v>0.11849999999999999</v>
      </c>
      <c r="K159">
        <v>0.10062</v>
      </c>
      <c r="L159">
        <v>0.19727</v>
      </c>
      <c r="M159">
        <v>1.8330200000000001</v>
      </c>
      <c r="N159">
        <v>2015</v>
      </c>
    </row>
    <row r="160" spans="2:14" x14ac:dyDescent="0.35">
      <c r="B160" t="s">
        <v>179</v>
      </c>
      <c r="C160" t="s">
        <v>91</v>
      </c>
      <c r="D160">
        <v>158</v>
      </c>
      <c r="E160">
        <v>2.839</v>
      </c>
      <c r="F160">
        <v>6.7269999999999996E-2</v>
      </c>
      <c r="G160">
        <v>0.20868</v>
      </c>
      <c r="H160">
        <v>0.13994999999999999</v>
      </c>
      <c r="I160">
        <v>0.28443000000000002</v>
      </c>
      <c r="J160">
        <v>0.36453000000000002</v>
      </c>
      <c r="K160">
        <v>0.10731</v>
      </c>
      <c r="L160">
        <v>0.16681000000000001</v>
      </c>
      <c r="M160">
        <v>1.5672600000000001</v>
      </c>
      <c r="N160">
        <v>2015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CA892-A9E8-41A9-B36E-EDAD1793281F}">
  <dimension ref="B2:O159"/>
  <sheetViews>
    <sheetView zoomScale="80" zoomScaleNormal="80" workbookViewId="0">
      <selection activeCell="G17" sqref="G17"/>
    </sheetView>
  </sheetViews>
  <sheetFormatPr defaultRowHeight="14.5" x14ac:dyDescent="0.35"/>
  <sheetData>
    <row r="2" spans="2:15" x14ac:dyDescent="0.35">
      <c r="B2" t="s">
        <v>0</v>
      </c>
      <c r="C2" t="s">
        <v>1</v>
      </c>
      <c r="D2" t="s">
        <v>2</v>
      </c>
      <c r="E2" t="s">
        <v>3</v>
      </c>
      <c r="F2" t="s">
        <v>194</v>
      </c>
      <c r="G2" t="s">
        <v>195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198</v>
      </c>
    </row>
    <row r="3" spans="2:15" x14ac:dyDescent="0.35">
      <c r="B3" t="s">
        <v>15</v>
      </c>
      <c r="C3" t="s">
        <v>13</v>
      </c>
      <c r="D3">
        <v>1</v>
      </c>
      <c r="E3">
        <v>7.5259999999999998</v>
      </c>
      <c r="F3">
        <v>7.46</v>
      </c>
      <c r="G3">
        <v>7.5919999999999996</v>
      </c>
      <c r="H3">
        <v>1.4417800000000001</v>
      </c>
      <c r="I3">
        <v>1.16374</v>
      </c>
      <c r="J3">
        <v>0.79503999999999997</v>
      </c>
      <c r="K3">
        <v>0.57940999999999998</v>
      </c>
      <c r="L3">
        <v>0.44452999999999998</v>
      </c>
      <c r="M3">
        <v>0.36170999999999998</v>
      </c>
      <c r="N3">
        <v>2.7393900000000002</v>
      </c>
      <c r="O3">
        <v>2016</v>
      </c>
    </row>
    <row r="4" spans="2:15" x14ac:dyDescent="0.35">
      <c r="B4" t="s">
        <v>12</v>
      </c>
      <c r="C4" t="s">
        <v>13</v>
      </c>
      <c r="D4">
        <v>2</v>
      </c>
      <c r="E4">
        <v>7.5090000000000003</v>
      </c>
      <c r="F4">
        <v>7.4279999999999999</v>
      </c>
      <c r="G4">
        <v>7.59</v>
      </c>
      <c r="H4">
        <v>1.5273300000000001</v>
      </c>
      <c r="I4">
        <v>1.14524</v>
      </c>
      <c r="J4">
        <v>0.86302999999999996</v>
      </c>
      <c r="K4">
        <v>0.58557000000000003</v>
      </c>
      <c r="L4">
        <v>0.41203000000000001</v>
      </c>
      <c r="M4">
        <v>0.28083000000000002</v>
      </c>
      <c r="N4">
        <v>2.6946300000000001</v>
      </c>
      <c r="O4">
        <v>2016</v>
      </c>
    </row>
    <row r="5" spans="2:15" x14ac:dyDescent="0.35">
      <c r="B5" t="s">
        <v>14</v>
      </c>
      <c r="C5" t="s">
        <v>13</v>
      </c>
      <c r="D5">
        <v>3</v>
      </c>
      <c r="E5">
        <v>7.5010000000000003</v>
      </c>
      <c r="F5">
        <v>7.3330000000000002</v>
      </c>
      <c r="G5">
        <v>7.6689999999999996</v>
      </c>
      <c r="H5">
        <v>1.42666</v>
      </c>
      <c r="I5">
        <v>1.18326</v>
      </c>
      <c r="J5">
        <v>0.86733000000000005</v>
      </c>
      <c r="K5">
        <v>0.56623999999999997</v>
      </c>
      <c r="L5">
        <v>0.14974999999999999</v>
      </c>
      <c r="M5">
        <v>0.47677999999999998</v>
      </c>
      <c r="N5">
        <v>2.8313700000000002</v>
      </c>
      <c r="O5">
        <v>2016</v>
      </c>
    </row>
    <row r="6" spans="2:15" x14ac:dyDescent="0.35">
      <c r="B6" t="s">
        <v>16</v>
      </c>
      <c r="C6" t="s">
        <v>13</v>
      </c>
      <c r="D6">
        <v>4</v>
      </c>
      <c r="E6">
        <v>7.4980000000000002</v>
      </c>
      <c r="F6">
        <v>7.4210000000000003</v>
      </c>
      <c r="G6">
        <v>7.5750000000000002</v>
      </c>
      <c r="H6">
        <v>1.57744</v>
      </c>
      <c r="I6">
        <v>1.1269</v>
      </c>
      <c r="J6">
        <v>0.79579</v>
      </c>
      <c r="K6">
        <v>0.59609000000000001</v>
      </c>
      <c r="L6">
        <v>0.35776000000000002</v>
      </c>
      <c r="M6">
        <v>0.37895000000000001</v>
      </c>
      <c r="N6">
        <v>2.66465</v>
      </c>
      <c r="O6">
        <v>2016</v>
      </c>
    </row>
    <row r="7" spans="2:15" x14ac:dyDescent="0.35">
      <c r="B7" t="s">
        <v>19</v>
      </c>
      <c r="C7" t="s">
        <v>13</v>
      </c>
      <c r="D7">
        <v>5</v>
      </c>
      <c r="E7">
        <v>7.4130000000000003</v>
      </c>
      <c r="F7">
        <v>7.351</v>
      </c>
      <c r="G7">
        <v>7.4749999999999996</v>
      </c>
      <c r="H7">
        <v>1.40598</v>
      </c>
      <c r="I7">
        <v>1.1346400000000001</v>
      </c>
      <c r="J7">
        <v>0.81091000000000002</v>
      </c>
      <c r="K7">
        <v>0.57103999999999999</v>
      </c>
      <c r="L7">
        <v>0.41004000000000002</v>
      </c>
      <c r="M7">
        <v>0.25491999999999998</v>
      </c>
      <c r="N7">
        <v>2.8259599999999998</v>
      </c>
      <c r="O7">
        <v>2016</v>
      </c>
    </row>
    <row r="8" spans="2:15" x14ac:dyDescent="0.35">
      <c r="B8" t="s">
        <v>17</v>
      </c>
      <c r="C8" t="s">
        <v>18</v>
      </c>
      <c r="D8">
        <v>6</v>
      </c>
      <c r="E8">
        <v>7.4039999999999999</v>
      </c>
      <c r="F8">
        <v>7.335</v>
      </c>
      <c r="G8">
        <v>7.4729999999999999</v>
      </c>
      <c r="H8">
        <v>1.44015</v>
      </c>
      <c r="I8">
        <v>1.0961000000000001</v>
      </c>
      <c r="J8">
        <v>0.8276</v>
      </c>
      <c r="K8">
        <v>0.57369999999999999</v>
      </c>
      <c r="L8">
        <v>0.31329000000000001</v>
      </c>
      <c r="M8">
        <v>0.44834000000000002</v>
      </c>
      <c r="N8">
        <v>2.70485</v>
      </c>
      <c r="O8">
        <v>2016</v>
      </c>
    </row>
    <row r="9" spans="2:15" x14ac:dyDescent="0.35">
      <c r="B9" t="s">
        <v>20</v>
      </c>
      <c r="C9" t="s">
        <v>13</v>
      </c>
      <c r="D9">
        <v>7</v>
      </c>
      <c r="E9">
        <v>7.3390000000000004</v>
      </c>
      <c r="F9">
        <v>7.2839999999999998</v>
      </c>
      <c r="G9">
        <v>7.3940000000000001</v>
      </c>
      <c r="H9">
        <v>1.46468</v>
      </c>
      <c r="I9">
        <v>1.02912</v>
      </c>
      <c r="J9">
        <v>0.81230999999999998</v>
      </c>
      <c r="K9">
        <v>0.55210999999999999</v>
      </c>
      <c r="L9">
        <v>0.29926999999999998</v>
      </c>
      <c r="M9">
        <v>0.47416000000000003</v>
      </c>
      <c r="N9">
        <v>2.70749</v>
      </c>
      <c r="O9">
        <v>2016</v>
      </c>
    </row>
    <row r="10" spans="2:15" x14ac:dyDescent="0.35">
      <c r="B10" t="s">
        <v>22</v>
      </c>
      <c r="C10" t="s">
        <v>23</v>
      </c>
      <c r="D10">
        <v>8</v>
      </c>
      <c r="E10">
        <v>7.3339999999999996</v>
      </c>
      <c r="F10">
        <v>7.2640000000000002</v>
      </c>
      <c r="G10">
        <v>7.4039999999999999</v>
      </c>
      <c r="H10">
        <v>1.36066</v>
      </c>
      <c r="I10">
        <v>1.1727799999999999</v>
      </c>
      <c r="J10">
        <v>0.83096000000000003</v>
      </c>
      <c r="K10">
        <v>0.58147000000000004</v>
      </c>
      <c r="L10">
        <v>0.41904000000000002</v>
      </c>
      <c r="M10">
        <v>0.49401</v>
      </c>
      <c r="N10">
        <v>2.47553</v>
      </c>
      <c r="O10">
        <v>2016</v>
      </c>
    </row>
    <row r="11" spans="2:15" x14ac:dyDescent="0.35">
      <c r="B11" t="s">
        <v>24</v>
      </c>
      <c r="C11" t="s">
        <v>23</v>
      </c>
      <c r="D11">
        <v>9</v>
      </c>
      <c r="E11">
        <v>7.3129999999999997</v>
      </c>
      <c r="F11">
        <v>7.2409999999999997</v>
      </c>
      <c r="G11">
        <v>7.3849999999999998</v>
      </c>
      <c r="H11">
        <v>1.4444300000000001</v>
      </c>
      <c r="I11">
        <v>1.10476</v>
      </c>
      <c r="J11">
        <v>0.85119999999999996</v>
      </c>
      <c r="K11">
        <v>0.56837000000000004</v>
      </c>
      <c r="L11">
        <v>0.32330999999999999</v>
      </c>
      <c r="M11">
        <v>0.47406999999999999</v>
      </c>
      <c r="N11">
        <v>2.5465</v>
      </c>
      <c r="O11">
        <v>2016</v>
      </c>
    </row>
    <row r="12" spans="2:15" x14ac:dyDescent="0.35">
      <c r="B12" t="s">
        <v>21</v>
      </c>
      <c r="C12" t="s">
        <v>13</v>
      </c>
      <c r="D12">
        <v>10</v>
      </c>
      <c r="E12">
        <v>7.2910000000000004</v>
      </c>
      <c r="F12">
        <v>7.2270000000000003</v>
      </c>
      <c r="G12">
        <v>7.3550000000000004</v>
      </c>
      <c r="H12">
        <v>1.45181</v>
      </c>
      <c r="I12">
        <v>1.0876399999999999</v>
      </c>
      <c r="J12">
        <v>0.83121</v>
      </c>
      <c r="K12">
        <v>0.58218000000000003</v>
      </c>
      <c r="L12">
        <v>0.40866999999999998</v>
      </c>
      <c r="M12">
        <v>0.38253999999999999</v>
      </c>
      <c r="N12">
        <v>2.5473400000000002</v>
      </c>
      <c r="O12">
        <v>2016</v>
      </c>
    </row>
    <row r="13" spans="2:15" x14ac:dyDescent="0.35">
      <c r="B13" t="s">
        <v>25</v>
      </c>
      <c r="C13" t="s">
        <v>26</v>
      </c>
      <c r="D13">
        <v>11</v>
      </c>
      <c r="E13">
        <v>7.2670000000000003</v>
      </c>
      <c r="F13">
        <v>7.1989999999999998</v>
      </c>
      <c r="G13">
        <v>7.335</v>
      </c>
      <c r="H13">
        <v>1.3376600000000001</v>
      </c>
      <c r="I13">
        <v>0.99536999999999998</v>
      </c>
      <c r="J13">
        <v>0.84916999999999998</v>
      </c>
      <c r="K13">
        <v>0.36431999999999998</v>
      </c>
      <c r="L13">
        <v>8.7279999999999996E-2</v>
      </c>
      <c r="M13">
        <v>0.32288</v>
      </c>
      <c r="N13">
        <v>3.3102900000000002</v>
      </c>
      <c r="O13">
        <v>2016</v>
      </c>
    </row>
    <row r="14" spans="2:15" x14ac:dyDescent="0.35">
      <c r="B14" t="s">
        <v>29</v>
      </c>
      <c r="C14" t="s">
        <v>13</v>
      </c>
      <c r="D14">
        <v>12</v>
      </c>
      <c r="E14">
        <v>7.1189999999999998</v>
      </c>
      <c r="F14">
        <v>7.0449999999999999</v>
      </c>
      <c r="G14">
        <v>7.1929999999999996</v>
      </c>
      <c r="H14">
        <v>1.45038</v>
      </c>
      <c r="I14">
        <v>1.0838300000000001</v>
      </c>
      <c r="J14">
        <v>0.80564999999999998</v>
      </c>
      <c r="K14">
        <v>0.54354999999999998</v>
      </c>
      <c r="L14">
        <v>0.21348</v>
      </c>
      <c r="M14">
        <v>0.32865</v>
      </c>
      <c r="N14">
        <v>2.6934300000000002</v>
      </c>
      <c r="O14">
        <v>2016</v>
      </c>
    </row>
    <row r="15" spans="2:15" x14ac:dyDescent="0.35">
      <c r="B15" t="s">
        <v>31</v>
      </c>
      <c r="C15" t="s">
        <v>18</v>
      </c>
      <c r="D15">
        <v>13</v>
      </c>
      <c r="E15">
        <v>7.1040000000000001</v>
      </c>
      <c r="F15">
        <v>7.02</v>
      </c>
      <c r="G15">
        <v>7.1879999999999997</v>
      </c>
      <c r="H15">
        <v>1.50796</v>
      </c>
      <c r="I15">
        <v>1.04782</v>
      </c>
      <c r="J15">
        <v>0.77900000000000003</v>
      </c>
      <c r="K15">
        <v>0.48163</v>
      </c>
      <c r="L15">
        <v>0.14868000000000001</v>
      </c>
      <c r="M15">
        <v>0.41077000000000002</v>
      </c>
      <c r="N15">
        <v>2.7278199999999999</v>
      </c>
      <c r="O15">
        <v>2016</v>
      </c>
    </row>
    <row r="16" spans="2:15" x14ac:dyDescent="0.35">
      <c r="B16" t="s">
        <v>27</v>
      </c>
      <c r="C16" t="s">
        <v>28</v>
      </c>
      <c r="D16">
        <v>14</v>
      </c>
      <c r="E16">
        <v>7.0869999999999997</v>
      </c>
      <c r="F16">
        <v>6.9989999999999997</v>
      </c>
      <c r="G16">
        <v>7.1749999999999998</v>
      </c>
      <c r="H16">
        <v>1.0687899999999999</v>
      </c>
      <c r="I16">
        <v>1.02152</v>
      </c>
      <c r="J16">
        <v>0.76146000000000003</v>
      </c>
      <c r="K16">
        <v>0.55225000000000002</v>
      </c>
      <c r="L16">
        <v>0.10546999999999999</v>
      </c>
      <c r="M16">
        <v>0.22553000000000001</v>
      </c>
      <c r="N16">
        <v>3.35168</v>
      </c>
      <c r="O16">
        <v>2016</v>
      </c>
    </row>
    <row r="17" spans="2:15" x14ac:dyDescent="0.35">
      <c r="B17" t="s">
        <v>207</v>
      </c>
      <c r="C17" t="s">
        <v>28</v>
      </c>
      <c r="D17">
        <v>15</v>
      </c>
      <c r="E17">
        <v>7.0389999999999997</v>
      </c>
      <c r="F17">
        <v>6.7939999999999996</v>
      </c>
      <c r="G17">
        <v>7.2839999999999998</v>
      </c>
      <c r="H17">
        <v>1.3594299999999999</v>
      </c>
      <c r="I17">
        <v>1.0811299999999999</v>
      </c>
      <c r="J17">
        <v>0.77758000000000005</v>
      </c>
      <c r="K17">
        <v>0.46822999999999998</v>
      </c>
      <c r="L17">
        <v>0.12275</v>
      </c>
      <c r="M17">
        <v>0.22202</v>
      </c>
      <c r="N17">
        <v>3.0076000000000001</v>
      </c>
      <c r="O17">
        <v>2016</v>
      </c>
    </row>
    <row r="18" spans="2:15" x14ac:dyDescent="0.35">
      <c r="B18" t="s">
        <v>43</v>
      </c>
      <c r="C18" t="s">
        <v>13</v>
      </c>
      <c r="D18">
        <v>16</v>
      </c>
      <c r="E18">
        <v>6.9939999999999998</v>
      </c>
      <c r="F18">
        <v>6.93</v>
      </c>
      <c r="G18">
        <v>7.0579999999999998</v>
      </c>
      <c r="H18">
        <v>1.44787</v>
      </c>
      <c r="I18">
        <v>1.0977399999999999</v>
      </c>
      <c r="J18">
        <v>0.81486999999999998</v>
      </c>
      <c r="K18">
        <v>0.53466000000000002</v>
      </c>
      <c r="L18">
        <v>0.28550999999999999</v>
      </c>
      <c r="M18">
        <v>0.30452000000000001</v>
      </c>
      <c r="N18">
        <v>2.5093100000000002</v>
      </c>
      <c r="O18">
        <v>2016</v>
      </c>
    </row>
    <row r="19" spans="2:15" x14ac:dyDescent="0.35">
      <c r="B19" t="s">
        <v>32</v>
      </c>
      <c r="C19" t="s">
        <v>28</v>
      </c>
      <c r="D19">
        <v>17</v>
      </c>
      <c r="E19">
        <v>6.952</v>
      </c>
      <c r="F19">
        <v>6.875</v>
      </c>
      <c r="G19">
        <v>7.0289999999999999</v>
      </c>
      <c r="H19">
        <v>1.08754</v>
      </c>
      <c r="I19">
        <v>1.03938</v>
      </c>
      <c r="J19">
        <v>0.61414999999999997</v>
      </c>
      <c r="K19">
        <v>0.40425</v>
      </c>
      <c r="L19">
        <v>0.14166000000000001</v>
      </c>
      <c r="M19">
        <v>0.15776000000000001</v>
      </c>
      <c r="N19">
        <v>3.5073300000000001</v>
      </c>
      <c r="O19">
        <v>2016</v>
      </c>
    </row>
    <row r="20" spans="2:15" x14ac:dyDescent="0.35">
      <c r="B20" t="s">
        <v>35</v>
      </c>
      <c r="C20" t="s">
        <v>13</v>
      </c>
      <c r="D20">
        <v>18</v>
      </c>
      <c r="E20">
        <v>6.9290000000000003</v>
      </c>
      <c r="F20">
        <v>6.8609999999999998</v>
      </c>
      <c r="G20">
        <v>6.9969999999999999</v>
      </c>
      <c r="H20">
        <v>1.4253899999999999</v>
      </c>
      <c r="I20">
        <v>1.0524899999999999</v>
      </c>
      <c r="J20">
        <v>0.81959000000000004</v>
      </c>
      <c r="K20">
        <v>0.51354</v>
      </c>
      <c r="L20">
        <v>0.26247999999999999</v>
      </c>
      <c r="M20">
        <v>0.2424</v>
      </c>
      <c r="N20">
        <v>2.61355</v>
      </c>
      <c r="O20">
        <v>2016</v>
      </c>
    </row>
    <row r="21" spans="2:15" x14ac:dyDescent="0.35">
      <c r="B21" t="s">
        <v>34</v>
      </c>
      <c r="C21" t="s">
        <v>13</v>
      </c>
      <c r="D21">
        <v>19</v>
      </c>
      <c r="E21">
        <v>6.907</v>
      </c>
      <c r="F21">
        <v>6.8360000000000003</v>
      </c>
      <c r="G21">
        <v>6.9779999999999998</v>
      </c>
      <c r="H21">
        <v>1.4834099999999999</v>
      </c>
      <c r="I21">
        <v>1.16157</v>
      </c>
      <c r="J21">
        <v>0.81455</v>
      </c>
      <c r="K21">
        <v>0.54008</v>
      </c>
      <c r="L21">
        <v>0.29754000000000003</v>
      </c>
      <c r="M21">
        <v>0.44962999999999997</v>
      </c>
      <c r="N21">
        <v>2.1598799999999998</v>
      </c>
      <c r="O21">
        <v>2016</v>
      </c>
    </row>
    <row r="22" spans="2:15" x14ac:dyDescent="0.35">
      <c r="B22" t="s">
        <v>33</v>
      </c>
      <c r="C22" t="s">
        <v>13</v>
      </c>
      <c r="D22">
        <v>20</v>
      </c>
      <c r="E22">
        <v>6.8710000000000004</v>
      </c>
      <c r="F22">
        <v>6.8040000000000003</v>
      </c>
      <c r="G22">
        <v>6.9379999999999997</v>
      </c>
      <c r="H22">
        <v>1.6975199999999999</v>
      </c>
      <c r="I22">
        <v>1.03999</v>
      </c>
      <c r="J22">
        <v>0.84541999999999995</v>
      </c>
      <c r="K22">
        <v>0.54869999999999997</v>
      </c>
      <c r="L22">
        <v>0.35328999999999999</v>
      </c>
      <c r="M22">
        <v>0.27571000000000001</v>
      </c>
      <c r="N22">
        <v>2.1105499999999999</v>
      </c>
      <c r="O22">
        <v>2016</v>
      </c>
    </row>
    <row r="23" spans="2:15" x14ac:dyDescent="0.35">
      <c r="B23" t="s">
        <v>30</v>
      </c>
      <c r="C23" t="s">
        <v>28</v>
      </c>
      <c r="D23">
        <v>21</v>
      </c>
      <c r="E23">
        <v>6.7779999999999996</v>
      </c>
      <c r="F23">
        <v>6.68</v>
      </c>
      <c r="G23">
        <v>6.8760000000000003</v>
      </c>
      <c r="H23">
        <v>1.1150800000000001</v>
      </c>
      <c r="I23">
        <v>0.71460000000000001</v>
      </c>
      <c r="J23">
        <v>0.71143000000000001</v>
      </c>
      <c r="K23">
        <v>0.37708999999999998</v>
      </c>
      <c r="L23">
        <v>0.18354999999999999</v>
      </c>
      <c r="M23">
        <v>0.11735</v>
      </c>
      <c r="N23">
        <v>3.5590600000000001</v>
      </c>
      <c r="O23">
        <v>2016</v>
      </c>
    </row>
    <row r="24" spans="2:15" x14ac:dyDescent="0.35">
      <c r="B24" t="s">
        <v>40</v>
      </c>
      <c r="C24" t="s">
        <v>41</v>
      </c>
      <c r="D24">
        <v>22</v>
      </c>
      <c r="E24">
        <v>6.7389999999999999</v>
      </c>
      <c r="F24">
        <v>6.6740000000000004</v>
      </c>
      <c r="G24">
        <v>6.8040000000000003</v>
      </c>
      <c r="H24">
        <v>1.6455500000000001</v>
      </c>
      <c r="I24">
        <v>0.86758000000000002</v>
      </c>
      <c r="J24">
        <v>0.94718999999999998</v>
      </c>
      <c r="K24">
        <v>0.48770000000000002</v>
      </c>
      <c r="L24">
        <v>0.46987000000000001</v>
      </c>
      <c r="M24">
        <v>0.32706000000000002</v>
      </c>
      <c r="N24">
        <v>1.9937499999999999</v>
      </c>
      <c r="O24">
        <v>2016</v>
      </c>
    </row>
    <row r="25" spans="2:15" x14ac:dyDescent="0.35">
      <c r="B25" t="s">
        <v>37</v>
      </c>
      <c r="C25" t="s">
        <v>13</v>
      </c>
      <c r="D25">
        <v>23</v>
      </c>
      <c r="E25">
        <v>6.7249999999999996</v>
      </c>
      <c r="F25">
        <v>6.6470000000000002</v>
      </c>
      <c r="G25">
        <v>6.8029999999999999</v>
      </c>
      <c r="H25">
        <v>1.40283</v>
      </c>
      <c r="I25">
        <v>1.0867199999999999</v>
      </c>
      <c r="J25">
        <v>0.80991000000000002</v>
      </c>
      <c r="K25">
        <v>0.50036000000000003</v>
      </c>
      <c r="L25">
        <v>0.27399000000000001</v>
      </c>
      <c r="M25">
        <v>0.50156000000000001</v>
      </c>
      <c r="N25">
        <v>2.1499899999999998</v>
      </c>
      <c r="O25">
        <v>2016</v>
      </c>
    </row>
    <row r="26" spans="2:15" x14ac:dyDescent="0.35">
      <c r="B26" t="s">
        <v>44</v>
      </c>
      <c r="C26" t="s">
        <v>28</v>
      </c>
      <c r="D26">
        <v>24</v>
      </c>
      <c r="E26">
        <v>6.7050000000000001</v>
      </c>
      <c r="F26">
        <v>6.6150000000000002</v>
      </c>
      <c r="G26">
        <v>6.7949999999999999</v>
      </c>
      <c r="H26">
        <v>1.2166999999999999</v>
      </c>
      <c r="I26">
        <v>0.90586999999999995</v>
      </c>
      <c r="J26">
        <v>0.81882999999999995</v>
      </c>
      <c r="K26">
        <v>0.37789</v>
      </c>
      <c r="L26">
        <v>0.11451</v>
      </c>
      <c r="M26">
        <v>0.31595000000000001</v>
      </c>
      <c r="N26">
        <v>2.95505</v>
      </c>
      <c r="O26">
        <v>2016</v>
      </c>
    </row>
    <row r="27" spans="2:15" x14ac:dyDescent="0.35">
      <c r="B27" t="s">
        <v>42</v>
      </c>
      <c r="C27" t="s">
        <v>28</v>
      </c>
      <c r="D27">
        <v>25</v>
      </c>
      <c r="E27">
        <v>6.7009999999999996</v>
      </c>
      <c r="F27">
        <v>6.601</v>
      </c>
      <c r="G27">
        <v>6.8010000000000002</v>
      </c>
      <c r="H27">
        <v>1.18306</v>
      </c>
      <c r="I27">
        <v>0.98912</v>
      </c>
      <c r="J27">
        <v>0.70835000000000004</v>
      </c>
      <c r="K27">
        <v>0.48926999999999998</v>
      </c>
      <c r="L27">
        <v>8.4229999999999999E-2</v>
      </c>
      <c r="M27">
        <v>0.24179999999999999</v>
      </c>
      <c r="N27">
        <v>3.0055900000000002</v>
      </c>
      <c r="O27">
        <v>2016</v>
      </c>
    </row>
    <row r="28" spans="2:15" x14ac:dyDescent="0.35">
      <c r="B28" t="s">
        <v>47</v>
      </c>
      <c r="C28" t="s">
        <v>28</v>
      </c>
      <c r="D28">
        <v>26</v>
      </c>
      <c r="E28">
        <v>6.65</v>
      </c>
      <c r="F28">
        <v>6.56</v>
      </c>
      <c r="G28">
        <v>6.74</v>
      </c>
      <c r="H28">
        <v>1.15137</v>
      </c>
      <c r="I28">
        <v>1.06612</v>
      </c>
      <c r="J28">
        <v>0.69711000000000001</v>
      </c>
      <c r="K28">
        <v>0.42283999999999999</v>
      </c>
      <c r="L28">
        <v>7.2959999999999997E-2</v>
      </c>
      <c r="M28">
        <v>0.10989</v>
      </c>
      <c r="N28">
        <v>3.1298499999999998</v>
      </c>
      <c r="O28">
        <v>2016</v>
      </c>
    </row>
    <row r="29" spans="2:15" x14ac:dyDescent="0.35">
      <c r="B29" t="s">
        <v>48</v>
      </c>
      <c r="C29" t="s">
        <v>49</v>
      </c>
      <c r="D29">
        <v>27</v>
      </c>
      <c r="E29">
        <v>6.5960000000000001</v>
      </c>
      <c r="F29">
        <v>6.5149999999999997</v>
      </c>
      <c r="G29">
        <v>6.6769999999999996</v>
      </c>
      <c r="H29">
        <v>1.30915</v>
      </c>
      <c r="I29">
        <v>1.00793</v>
      </c>
      <c r="J29">
        <v>0.76375999999999999</v>
      </c>
      <c r="K29">
        <v>0.41417999999999999</v>
      </c>
      <c r="L29">
        <v>3.986E-2</v>
      </c>
      <c r="M29">
        <v>9.9290000000000003E-2</v>
      </c>
      <c r="N29">
        <v>2.96211</v>
      </c>
      <c r="O29">
        <v>2016</v>
      </c>
    </row>
    <row r="30" spans="2:15" x14ac:dyDescent="0.35">
      <c r="B30" t="s">
        <v>36</v>
      </c>
      <c r="C30" t="s">
        <v>26</v>
      </c>
      <c r="D30">
        <v>28</v>
      </c>
      <c r="E30">
        <v>6.5730000000000004</v>
      </c>
      <c r="F30">
        <v>6.4939999999999998</v>
      </c>
      <c r="G30">
        <v>6.6520000000000001</v>
      </c>
      <c r="H30">
        <v>1.57352</v>
      </c>
      <c r="I30">
        <v>0.87114000000000003</v>
      </c>
      <c r="J30">
        <v>0.72992999999999997</v>
      </c>
      <c r="K30">
        <v>0.56215000000000004</v>
      </c>
      <c r="L30">
        <v>0.35560999999999998</v>
      </c>
      <c r="M30">
        <v>0.26590999999999998</v>
      </c>
      <c r="N30">
        <v>2.2150699999999999</v>
      </c>
      <c r="O30">
        <v>2016</v>
      </c>
    </row>
    <row r="31" spans="2:15" x14ac:dyDescent="0.35">
      <c r="B31" t="s">
        <v>50</v>
      </c>
      <c r="C31" t="s">
        <v>28</v>
      </c>
      <c r="D31">
        <v>29</v>
      </c>
      <c r="E31">
        <v>6.5449999999999999</v>
      </c>
      <c r="F31">
        <v>6.4560000000000004</v>
      </c>
      <c r="G31">
        <v>6.6340000000000003</v>
      </c>
      <c r="H31">
        <v>1.18157</v>
      </c>
      <c r="I31">
        <v>1.0314300000000001</v>
      </c>
      <c r="J31">
        <v>0.72182999999999997</v>
      </c>
      <c r="K31">
        <v>0.54388000000000003</v>
      </c>
      <c r="L31">
        <v>0.21393999999999999</v>
      </c>
      <c r="M31">
        <v>0.18056</v>
      </c>
      <c r="N31">
        <v>2.6713900000000002</v>
      </c>
      <c r="O31">
        <v>2016</v>
      </c>
    </row>
    <row r="32" spans="2:15" x14ac:dyDescent="0.35">
      <c r="B32" t="s">
        <v>55</v>
      </c>
      <c r="C32" t="s">
        <v>13</v>
      </c>
      <c r="D32">
        <v>30</v>
      </c>
      <c r="E32">
        <v>6.4880000000000004</v>
      </c>
      <c r="F32">
        <v>6.4089999999999998</v>
      </c>
      <c r="G32">
        <v>6.5670000000000002</v>
      </c>
      <c r="H32">
        <v>1.30782</v>
      </c>
      <c r="I32">
        <v>1.0987899999999999</v>
      </c>
      <c r="J32">
        <v>0.80315000000000003</v>
      </c>
      <c r="K32">
        <v>0.54993999999999998</v>
      </c>
      <c r="L32">
        <v>0.17554</v>
      </c>
      <c r="M32">
        <v>0.56237000000000004</v>
      </c>
      <c r="N32">
        <v>1.9903200000000001</v>
      </c>
      <c r="O32">
        <v>2016</v>
      </c>
    </row>
    <row r="33" spans="2:15" x14ac:dyDescent="0.35">
      <c r="B33" t="s">
        <v>51</v>
      </c>
      <c r="C33" t="s">
        <v>28</v>
      </c>
      <c r="D33">
        <v>31</v>
      </c>
      <c r="E33">
        <v>6.4809999999999999</v>
      </c>
      <c r="F33">
        <v>6.3840000000000003</v>
      </c>
      <c r="G33">
        <v>6.5780000000000003</v>
      </c>
      <c r="H33">
        <v>1.0303199999999999</v>
      </c>
      <c r="I33">
        <v>1.02169</v>
      </c>
      <c r="J33">
        <v>0.59658999999999995</v>
      </c>
      <c r="K33">
        <v>0.44735000000000003</v>
      </c>
      <c r="L33">
        <v>5.3990000000000003E-2</v>
      </c>
      <c r="M33">
        <v>0.15626000000000001</v>
      </c>
      <c r="N33">
        <v>3.1747100000000001</v>
      </c>
      <c r="O33">
        <v>2016</v>
      </c>
    </row>
    <row r="34" spans="2:15" x14ac:dyDescent="0.35">
      <c r="B34" t="s">
        <v>46</v>
      </c>
      <c r="C34" t="s">
        <v>13</v>
      </c>
      <c r="D34">
        <v>32</v>
      </c>
      <c r="E34">
        <v>6.4779999999999998</v>
      </c>
      <c r="F34">
        <v>6.3970000000000002</v>
      </c>
      <c r="G34">
        <v>6.5590000000000002</v>
      </c>
      <c r="H34">
        <v>1.3948799999999999</v>
      </c>
      <c r="I34">
        <v>1.00508</v>
      </c>
      <c r="J34">
        <v>0.83794999999999997</v>
      </c>
      <c r="K34">
        <v>0.46561999999999998</v>
      </c>
      <c r="L34">
        <v>0.17807999999999999</v>
      </c>
      <c r="M34">
        <v>0.1216</v>
      </c>
      <c r="N34">
        <v>2.4744000000000002</v>
      </c>
      <c r="O34">
        <v>2016</v>
      </c>
    </row>
    <row r="35" spans="2:15" x14ac:dyDescent="0.35">
      <c r="B35" t="s">
        <v>52</v>
      </c>
      <c r="C35" t="s">
        <v>41</v>
      </c>
      <c r="D35">
        <v>33</v>
      </c>
      <c r="E35">
        <v>6.4740000000000002</v>
      </c>
      <c r="F35">
        <v>6.3959999999999999</v>
      </c>
      <c r="G35">
        <v>6.5519999999999996</v>
      </c>
      <c r="H35">
        <v>1.0892999999999999</v>
      </c>
      <c r="I35">
        <v>1.04477</v>
      </c>
      <c r="J35">
        <v>0.64915</v>
      </c>
      <c r="K35">
        <v>0.49553000000000003</v>
      </c>
      <c r="L35">
        <v>2.8330000000000001E-2</v>
      </c>
      <c r="M35">
        <v>0.58696000000000004</v>
      </c>
      <c r="N35">
        <v>2.5796000000000001</v>
      </c>
      <c r="O35">
        <v>2016</v>
      </c>
    </row>
    <row r="36" spans="2:15" x14ac:dyDescent="0.35">
      <c r="B36" t="s">
        <v>53</v>
      </c>
      <c r="C36" t="s">
        <v>26</v>
      </c>
      <c r="D36">
        <v>34</v>
      </c>
      <c r="E36">
        <v>6.3789999999999996</v>
      </c>
      <c r="F36">
        <v>6.2869999999999999</v>
      </c>
      <c r="G36">
        <v>6.4710000000000001</v>
      </c>
      <c r="H36">
        <v>1.48953</v>
      </c>
      <c r="I36">
        <v>0.84828999999999999</v>
      </c>
      <c r="J36">
        <v>0.59267000000000003</v>
      </c>
      <c r="K36">
        <v>0.37903999999999999</v>
      </c>
      <c r="L36">
        <v>0.30008000000000001</v>
      </c>
      <c r="M36">
        <v>0.15457000000000001</v>
      </c>
      <c r="N36">
        <v>2.6148199999999999</v>
      </c>
      <c r="O36">
        <v>2016</v>
      </c>
    </row>
    <row r="37" spans="2:15" x14ac:dyDescent="0.35">
      <c r="B37" t="s">
        <v>56</v>
      </c>
      <c r="C37" t="s">
        <v>57</v>
      </c>
      <c r="D37">
        <v>34</v>
      </c>
      <c r="E37">
        <v>6.3789999999999996</v>
      </c>
      <c r="F37">
        <v>6.3049999999999997</v>
      </c>
      <c r="G37">
        <v>6.4530000000000003</v>
      </c>
      <c r="H37">
        <v>1.3972899999999999</v>
      </c>
      <c r="I37">
        <v>0.92623999999999995</v>
      </c>
      <c r="J37">
        <v>0.79564999999999997</v>
      </c>
      <c r="K37">
        <v>0.32377</v>
      </c>
      <c r="L37">
        <v>6.6299999999999998E-2</v>
      </c>
      <c r="M37">
        <v>0.25495000000000001</v>
      </c>
      <c r="N37">
        <v>2.6152299999999999</v>
      </c>
      <c r="O37">
        <v>2016</v>
      </c>
    </row>
    <row r="38" spans="2:15" x14ac:dyDescent="0.35">
      <c r="B38" t="s">
        <v>45</v>
      </c>
      <c r="C38" t="s">
        <v>26</v>
      </c>
      <c r="D38">
        <v>36</v>
      </c>
      <c r="E38">
        <v>6.375</v>
      </c>
      <c r="F38">
        <v>6.1779999999999999</v>
      </c>
      <c r="G38">
        <v>6.5720000000000001</v>
      </c>
      <c r="H38">
        <v>1.8242700000000001</v>
      </c>
      <c r="I38">
        <v>0.87963999999999998</v>
      </c>
      <c r="J38">
        <v>0.71723000000000003</v>
      </c>
      <c r="K38">
        <v>0.56679000000000002</v>
      </c>
      <c r="L38">
        <v>0.48048999999999997</v>
      </c>
      <c r="M38">
        <v>0.32388</v>
      </c>
      <c r="N38">
        <v>1.5822400000000001</v>
      </c>
      <c r="O38">
        <v>2016</v>
      </c>
    </row>
    <row r="39" spans="2:15" x14ac:dyDescent="0.35">
      <c r="B39" t="s">
        <v>54</v>
      </c>
      <c r="C39" t="s">
        <v>13</v>
      </c>
      <c r="D39">
        <v>37</v>
      </c>
      <c r="E39">
        <v>6.3609999999999998</v>
      </c>
      <c r="F39">
        <v>6.2880000000000003</v>
      </c>
      <c r="G39">
        <v>6.4340000000000002</v>
      </c>
      <c r="H39">
        <v>1.34253</v>
      </c>
      <c r="I39">
        <v>1.1294500000000001</v>
      </c>
      <c r="J39">
        <v>0.87895999999999996</v>
      </c>
      <c r="K39">
        <v>0.37545000000000001</v>
      </c>
      <c r="L39">
        <v>6.1370000000000001E-2</v>
      </c>
      <c r="M39">
        <v>0.17665</v>
      </c>
      <c r="N39">
        <v>2.39663</v>
      </c>
      <c r="O39">
        <v>2016</v>
      </c>
    </row>
    <row r="40" spans="2:15" x14ac:dyDescent="0.35">
      <c r="B40" t="s">
        <v>87</v>
      </c>
      <c r="C40" t="s">
        <v>26</v>
      </c>
      <c r="D40">
        <v>38</v>
      </c>
      <c r="E40">
        <v>6.3550000000000004</v>
      </c>
      <c r="F40">
        <v>6.2270000000000003</v>
      </c>
      <c r="G40">
        <v>6.4829999999999997</v>
      </c>
      <c r="H40">
        <v>1.0526599999999999</v>
      </c>
      <c r="I40">
        <v>0.83309</v>
      </c>
      <c r="J40">
        <v>0.61804000000000003</v>
      </c>
      <c r="K40">
        <v>0.21006</v>
      </c>
      <c r="L40">
        <v>0.16156999999999999</v>
      </c>
      <c r="M40">
        <v>7.0440000000000003E-2</v>
      </c>
      <c r="N40">
        <v>3.4090400000000001</v>
      </c>
      <c r="O40">
        <v>2016</v>
      </c>
    </row>
    <row r="41" spans="2:15" x14ac:dyDescent="0.35">
      <c r="B41" t="s">
        <v>62</v>
      </c>
      <c r="C41" t="s">
        <v>28</v>
      </c>
      <c r="D41">
        <v>39</v>
      </c>
      <c r="E41">
        <v>6.3239999999999998</v>
      </c>
      <c r="F41">
        <v>6.2130000000000001</v>
      </c>
      <c r="G41">
        <v>6.4349999999999996</v>
      </c>
      <c r="H41">
        <v>0.83453999999999995</v>
      </c>
      <c r="I41">
        <v>0.87119000000000002</v>
      </c>
      <c r="J41">
        <v>0.54039000000000004</v>
      </c>
      <c r="K41">
        <v>0.50378999999999996</v>
      </c>
      <c r="L41">
        <v>8.7010000000000004E-2</v>
      </c>
      <c r="M41">
        <v>0.28808</v>
      </c>
      <c r="N41">
        <v>3.1986300000000001</v>
      </c>
      <c r="O41">
        <v>2016</v>
      </c>
    </row>
    <row r="42" spans="2:15" x14ac:dyDescent="0.35">
      <c r="B42" t="s">
        <v>59</v>
      </c>
      <c r="C42" t="s">
        <v>28</v>
      </c>
      <c r="D42">
        <v>40</v>
      </c>
      <c r="E42">
        <v>6.2690000000000001</v>
      </c>
      <c r="F42">
        <v>6.0730000000000004</v>
      </c>
      <c r="G42">
        <v>6.4649999999999999</v>
      </c>
      <c r="H42">
        <v>1.0968599999999999</v>
      </c>
      <c r="I42">
        <v>0.77866000000000002</v>
      </c>
      <c r="J42">
        <v>0.50932999999999995</v>
      </c>
      <c r="K42">
        <v>0.52234000000000003</v>
      </c>
      <c r="L42">
        <v>0.12692000000000001</v>
      </c>
      <c r="M42">
        <v>0.16664999999999999</v>
      </c>
      <c r="N42">
        <v>3.0685199999999999</v>
      </c>
      <c r="O42">
        <v>2016</v>
      </c>
    </row>
    <row r="43" spans="2:15" x14ac:dyDescent="0.35">
      <c r="B43" t="s">
        <v>58</v>
      </c>
      <c r="C43" t="s">
        <v>26</v>
      </c>
      <c r="D43">
        <v>41</v>
      </c>
      <c r="E43">
        <v>6.2389999999999999</v>
      </c>
      <c r="F43">
        <v>6.1539999999999999</v>
      </c>
      <c r="G43">
        <v>6.3239999999999998</v>
      </c>
      <c r="H43">
        <v>1.61714</v>
      </c>
      <c r="I43">
        <v>0.87758000000000003</v>
      </c>
      <c r="J43">
        <v>0.63568999999999998</v>
      </c>
      <c r="K43">
        <v>0.43165999999999999</v>
      </c>
      <c r="L43">
        <v>0.23669000000000001</v>
      </c>
      <c r="M43">
        <v>0.15964999999999999</v>
      </c>
      <c r="N43">
        <v>2.28085</v>
      </c>
      <c r="O43">
        <v>2016</v>
      </c>
    </row>
    <row r="44" spans="2:15" x14ac:dyDescent="0.35">
      <c r="B44" t="s">
        <v>68</v>
      </c>
      <c r="C44" t="s">
        <v>26</v>
      </c>
      <c r="D44">
        <v>42</v>
      </c>
      <c r="E44">
        <v>6.218</v>
      </c>
      <c r="F44">
        <v>6.1280000000000001</v>
      </c>
      <c r="G44">
        <v>6.3079999999999998</v>
      </c>
      <c r="H44">
        <v>1.44024</v>
      </c>
      <c r="I44">
        <v>0.94396999999999998</v>
      </c>
      <c r="J44">
        <v>0.65695999999999999</v>
      </c>
      <c r="K44">
        <v>0.47375</v>
      </c>
      <c r="L44">
        <v>0.25772</v>
      </c>
      <c r="M44">
        <v>0.17147000000000001</v>
      </c>
      <c r="N44">
        <v>2.2740499999999999</v>
      </c>
      <c r="O44">
        <v>2016</v>
      </c>
    </row>
    <row r="45" spans="2:15" x14ac:dyDescent="0.35">
      <c r="B45" t="s">
        <v>60</v>
      </c>
      <c r="C45" t="s">
        <v>28</v>
      </c>
      <c r="D45">
        <v>43</v>
      </c>
      <c r="E45">
        <v>6.1680000000000001</v>
      </c>
      <c r="F45">
        <v>5.95</v>
      </c>
      <c r="G45">
        <v>6.3860000000000001</v>
      </c>
      <c r="H45">
        <v>1.32572</v>
      </c>
      <c r="I45">
        <v>0.98568999999999996</v>
      </c>
      <c r="J45">
        <v>0.52607999999999999</v>
      </c>
      <c r="K45">
        <v>0.48453000000000002</v>
      </c>
      <c r="L45">
        <v>1.2409999999999999E-2</v>
      </c>
      <c r="M45">
        <v>0.31935000000000002</v>
      </c>
      <c r="N45">
        <v>2.5139399999999998</v>
      </c>
      <c r="O45">
        <v>2016</v>
      </c>
    </row>
    <row r="46" spans="2:15" x14ac:dyDescent="0.35">
      <c r="B46" t="s">
        <v>39</v>
      </c>
      <c r="C46" t="s">
        <v>28</v>
      </c>
      <c r="D46">
        <v>44</v>
      </c>
      <c r="E46">
        <v>6.0839999999999996</v>
      </c>
      <c r="F46">
        <v>5.9729999999999999</v>
      </c>
      <c r="G46">
        <v>6.1950000000000003</v>
      </c>
      <c r="H46">
        <v>1.13367</v>
      </c>
      <c r="I46">
        <v>1.03302</v>
      </c>
      <c r="J46">
        <v>0.61904000000000003</v>
      </c>
      <c r="K46">
        <v>0.19847000000000001</v>
      </c>
      <c r="L46">
        <v>8.3040000000000003E-2</v>
      </c>
      <c r="M46">
        <v>4.2500000000000003E-2</v>
      </c>
      <c r="N46">
        <v>2.9746800000000002</v>
      </c>
      <c r="O46">
        <v>2016</v>
      </c>
    </row>
    <row r="47" spans="2:15" x14ac:dyDescent="0.35">
      <c r="B47" t="s">
        <v>64</v>
      </c>
      <c r="C47" t="s">
        <v>49</v>
      </c>
      <c r="D47">
        <v>45</v>
      </c>
      <c r="E47">
        <v>6.0780000000000003</v>
      </c>
      <c r="F47">
        <v>5.9960000000000004</v>
      </c>
      <c r="G47">
        <v>6.16</v>
      </c>
      <c r="H47">
        <v>1.27973</v>
      </c>
      <c r="I47">
        <v>1.0826800000000001</v>
      </c>
      <c r="J47">
        <v>0.70367000000000002</v>
      </c>
      <c r="K47">
        <v>0.23391000000000001</v>
      </c>
      <c r="L47">
        <v>2.947E-2</v>
      </c>
      <c r="M47">
        <v>0.13836999999999999</v>
      </c>
      <c r="N47">
        <v>2.6106500000000001</v>
      </c>
      <c r="O47">
        <v>2016</v>
      </c>
    </row>
    <row r="48" spans="2:15" x14ac:dyDescent="0.35">
      <c r="B48" t="s">
        <v>61</v>
      </c>
      <c r="C48" t="s">
        <v>28</v>
      </c>
      <c r="D48">
        <v>46</v>
      </c>
      <c r="E48">
        <v>6.0679999999999996</v>
      </c>
      <c r="F48">
        <v>5.9669999999999996</v>
      </c>
      <c r="G48">
        <v>6.1689999999999996</v>
      </c>
      <c r="H48">
        <v>0.87370000000000003</v>
      </c>
      <c r="I48">
        <v>0.80974999999999997</v>
      </c>
      <c r="J48">
        <v>0.59599999999999997</v>
      </c>
      <c r="K48">
        <v>0.37269000000000002</v>
      </c>
      <c r="L48">
        <v>0.10613</v>
      </c>
      <c r="M48">
        <v>8.8770000000000002E-2</v>
      </c>
      <c r="N48">
        <v>3.2213400000000001</v>
      </c>
      <c r="O48">
        <v>2016</v>
      </c>
    </row>
    <row r="49" spans="2:15" x14ac:dyDescent="0.35">
      <c r="B49" t="s">
        <v>80</v>
      </c>
      <c r="C49" t="s">
        <v>41</v>
      </c>
      <c r="D49">
        <v>47</v>
      </c>
      <c r="E49">
        <v>6.0049999999999999</v>
      </c>
      <c r="F49">
        <v>5.9210000000000003</v>
      </c>
      <c r="G49">
        <v>6.0890000000000004</v>
      </c>
      <c r="H49">
        <v>1.25142</v>
      </c>
      <c r="I49">
        <v>0.88024999999999998</v>
      </c>
      <c r="J49">
        <v>0.62365999999999999</v>
      </c>
      <c r="K49">
        <v>0.39030999999999999</v>
      </c>
      <c r="L49">
        <v>9.0810000000000002E-2</v>
      </c>
      <c r="M49">
        <v>0.41474</v>
      </c>
      <c r="N49">
        <v>2.3538399999999999</v>
      </c>
      <c r="O49">
        <v>2016</v>
      </c>
    </row>
    <row r="50" spans="2:15" x14ac:dyDescent="0.35">
      <c r="B50" t="s">
        <v>76</v>
      </c>
      <c r="C50" t="s">
        <v>28</v>
      </c>
      <c r="D50">
        <v>48</v>
      </c>
      <c r="E50">
        <v>5.992</v>
      </c>
      <c r="F50">
        <v>5.8769999999999998</v>
      </c>
      <c r="G50">
        <v>6.1070000000000002</v>
      </c>
      <c r="H50">
        <v>0.69384000000000001</v>
      </c>
      <c r="I50">
        <v>0.89520999999999995</v>
      </c>
      <c r="J50">
        <v>0.65212999999999999</v>
      </c>
      <c r="K50">
        <v>0.46582000000000001</v>
      </c>
      <c r="L50">
        <v>0.16292000000000001</v>
      </c>
      <c r="M50">
        <v>0.29772999999999999</v>
      </c>
      <c r="N50">
        <v>2.8242799999999999</v>
      </c>
      <c r="O50">
        <v>2016</v>
      </c>
    </row>
    <row r="51" spans="2:15" x14ac:dyDescent="0.35">
      <c r="B51" t="s">
        <v>63</v>
      </c>
      <c r="C51" t="s">
        <v>49</v>
      </c>
      <c r="D51">
        <v>49</v>
      </c>
      <c r="E51">
        <v>5.9870000000000001</v>
      </c>
      <c r="F51">
        <v>5.8959999999999999</v>
      </c>
      <c r="G51">
        <v>6.0780000000000003</v>
      </c>
      <c r="H51">
        <v>0.73590999999999995</v>
      </c>
      <c r="I51">
        <v>1.1680999999999999</v>
      </c>
      <c r="J51">
        <v>0.50163000000000002</v>
      </c>
      <c r="K51">
        <v>0.60848000000000002</v>
      </c>
      <c r="L51">
        <v>0.28333000000000003</v>
      </c>
      <c r="M51">
        <v>0.34326000000000001</v>
      </c>
      <c r="N51">
        <v>2.3463799999999999</v>
      </c>
      <c r="O51">
        <v>2016</v>
      </c>
    </row>
    <row r="52" spans="2:15" x14ac:dyDescent="0.35">
      <c r="B52" t="s">
        <v>69</v>
      </c>
      <c r="C52" t="s">
        <v>13</v>
      </c>
      <c r="D52">
        <v>50</v>
      </c>
      <c r="E52">
        <v>5.9770000000000003</v>
      </c>
      <c r="F52">
        <v>5.8979999999999997</v>
      </c>
      <c r="G52">
        <v>6.056</v>
      </c>
      <c r="H52">
        <v>1.3549500000000001</v>
      </c>
      <c r="I52">
        <v>1.0416700000000001</v>
      </c>
      <c r="J52">
        <v>0.85102</v>
      </c>
      <c r="K52">
        <v>0.18826999999999999</v>
      </c>
      <c r="L52">
        <v>2.5559999999999999E-2</v>
      </c>
      <c r="M52">
        <v>0.16683999999999999</v>
      </c>
      <c r="N52">
        <v>2.34918</v>
      </c>
      <c r="O52">
        <v>2016</v>
      </c>
    </row>
    <row r="53" spans="2:15" x14ac:dyDescent="0.35">
      <c r="B53" t="s">
        <v>67</v>
      </c>
      <c r="C53" t="s">
        <v>28</v>
      </c>
      <c r="D53">
        <v>51</v>
      </c>
      <c r="E53">
        <v>5.976</v>
      </c>
      <c r="F53">
        <v>5.88</v>
      </c>
      <c r="G53">
        <v>6.0720000000000001</v>
      </c>
      <c r="H53">
        <v>0.97306000000000004</v>
      </c>
      <c r="I53">
        <v>0.85973999999999995</v>
      </c>
      <c r="J53">
        <v>0.68613000000000002</v>
      </c>
      <c r="K53">
        <v>0.4027</v>
      </c>
      <c r="L53">
        <v>0.18037</v>
      </c>
      <c r="M53">
        <v>0.10074</v>
      </c>
      <c r="N53">
        <v>2.77366</v>
      </c>
      <c r="O53">
        <v>2016</v>
      </c>
    </row>
    <row r="54" spans="2:15" x14ac:dyDescent="0.35">
      <c r="B54" t="s">
        <v>208</v>
      </c>
      <c r="C54" t="s">
        <v>28</v>
      </c>
      <c r="D54">
        <v>52</v>
      </c>
      <c r="E54">
        <v>5.9560000000000004</v>
      </c>
      <c r="F54">
        <v>5.71</v>
      </c>
      <c r="G54">
        <v>6.202</v>
      </c>
      <c r="H54">
        <v>0.87616000000000005</v>
      </c>
      <c r="I54">
        <v>0.68654999999999999</v>
      </c>
      <c r="J54">
        <v>0.45568999999999998</v>
      </c>
      <c r="K54">
        <v>0.51231000000000004</v>
      </c>
      <c r="L54">
        <v>0.10771</v>
      </c>
      <c r="M54">
        <v>0.23683999999999999</v>
      </c>
      <c r="N54">
        <v>3.08039</v>
      </c>
      <c r="O54">
        <v>2016</v>
      </c>
    </row>
    <row r="55" spans="2:15" x14ac:dyDescent="0.35">
      <c r="B55" t="s">
        <v>65</v>
      </c>
      <c r="C55" t="s">
        <v>57</v>
      </c>
      <c r="D55">
        <v>53</v>
      </c>
      <c r="E55">
        <v>5.9210000000000003</v>
      </c>
      <c r="F55">
        <v>5.85</v>
      </c>
      <c r="G55">
        <v>5.992</v>
      </c>
      <c r="H55">
        <v>1.3800699999999999</v>
      </c>
      <c r="I55">
        <v>1.06054</v>
      </c>
      <c r="J55">
        <v>0.91491</v>
      </c>
      <c r="K55">
        <v>0.46761000000000003</v>
      </c>
      <c r="L55">
        <v>0.18984999999999999</v>
      </c>
      <c r="M55">
        <v>0.10224</v>
      </c>
      <c r="N55">
        <v>1.8058399999999999</v>
      </c>
      <c r="O55">
        <v>2016</v>
      </c>
    </row>
    <row r="56" spans="2:15" x14ac:dyDescent="0.35">
      <c r="B56" t="s">
        <v>73</v>
      </c>
      <c r="C56" t="s">
        <v>49</v>
      </c>
      <c r="D56">
        <v>54</v>
      </c>
      <c r="E56">
        <v>5.9189999999999996</v>
      </c>
      <c r="F56">
        <v>5.8369999999999997</v>
      </c>
      <c r="G56">
        <v>6.0010000000000003</v>
      </c>
      <c r="H56">
        <v>1.22943</v>
      </c>
      <c r="I56">
        <v>0.95543999999999996</v>
      </c>
      <c r="J56">
        <v>0.57386000000000004</v>
      </c>
      <c r="K56">
        <v>0.4052</v>
      </c>
      <c r="L56">
        <v>0.11132</v>
      </c>
      <c r="M56">
        <v>0.15010999999999999</v>
      </c>
      <c r="N56">
        <v>2.4932500000000002</v>
      </c>
      <c r="O56">
        <v>2016</v>
      </c>
    </row>
    <row r="57" spans="2:15" x14ac:dyDescent="0.35">
      <c r="B57" t="s">
        <v>71</v>
      </c>
      <c r="C57" t="s">
        <v>49</v>
      </c>
      <c r="D57">
        <v>55</v>
      </c>
      <c r="E57">
        <v>5.8970000000000002</v>
      </c>
      <c r="F57">
        <v>5.8230000000000004</v>
      </c>
      <c r="G57">
        <v>5.9710000000000001</v>
      </c>
      <c r="H57">
        <v>0.69177</v>
      </c>
      <c r="I57">
        <v>0.83131999999999995</v>
      </c>
      <c r="J57">
        <v>0.52309000000000005</v>
      </c>
      <c r="K57">
        <v>0.25202000000000002</v>
      </c>
      <c r="L57">
        <v>1.9029999999999998E-2</v>
      </c>
      <c r="M57">
        <v>0.19997000000000001</v>
      </c>
      <c r="N57">
        <v>3.3800699999999999</v>
      </c>
      <c r="O57">
        <v>2016</v>
      </c>
    </row>
    <row r="58" spans="2:15" x14ac:dyDescent="0.35">
      <c r="B58" t="s">
        <v>83</v>
      </c>
      <c r="C58" t="s">
        <v>49</v>
      </c>
      <c r="D58">
        <v>56</v>
      </c>
      <c r="E58">
        <v>5.8559999999999999</v>
      </c>
      <c r="F58">
        <v>5.7889999999999997</v>
      </c>
      <c r="G58">
        <v>5.923</v>
      </c>
      <c r="H58">
        <v>1.23228</v>
      </c>
      <c r="I58">
        <v>1.05261</v>
      </c>
      <c r="J58">
        <v>0.58991000000000005</v>
      </c>
      <c r="K58">
        <v>0.32682</v>
      </c>
      <c r="L58">
        <v>3.5860000000000003E-2</v>
      </c>
      <c r="M58">
        <v>2.7359999999999999E-2</v>
      </c>
      <c r="N58">
        <v>2.5911499999999998</v>
      </c>
      <c r="O58">
        <v>2016</v>
      </c>
    </row>
    <row r="59" spans="2:15" x14ac:dyDescent="0.35">
      <c r="B59" t="s">
        <v>79</v>
      </c>
      <c r="C59" t="s">
        <v>49</v>
      </c>
      <c r="D59">
        <v>57</v>
      </c>
      <c r="E59">
        <v>5.835</v>
      </c>
      <c r="F59">
        <v>5.7489999999999997</v>
      </c>
      <c r="G59">
        <v>5.9210000000000003</v>
      </c>
      <c r="H59">
        <v>1.2458499999999999</v>
      </c>
      <c r="I59">
        <v>1.0468500000000001</v>
      </c>
      <c r="J59">
        <v>0.69057999999999997</v>
      </c>
      <c r="K59">
        <v>0.45190000000000002</v>
      </c>
      <c r="L59">
        <v>5.5E-2</v>
      </c>
      <c r="M59">
        <v>0.14443</v>
      </c>
      <c r="N59">
        <v>2.2003499999999998</v>
      </c>
      <c r="O59">
        <v>2016</v>
      </c>
    </row>
    <row r="60" spans="2:15" x14ac:dyDescent="0.35">
      <c r="B60" t="s">
        <v>66</v>
      </c>
      <c r="C60" t="s">
        <v>57</v>
      </c>
      <c r="D60">
        <v>57</v>
      </c>
      <c r="E60">
        <v>5.835</v>
      </c>
      <c r="F60">
        <v>5.7469999999999999</v>
      </c>
      <c r="G60">
        <v>5.923</v>
      </c>
      <c r="H60">
        <v>1.35948</v>
      </c>
      <c r="I60">
        <v>0.72194000000000003</v>
      </c>
      <c r="J60">
        <v>0.88644999999999996</v>
      </c>
      <c r="K60">
        <v>0.25168000000000001</v>
      </c>
      <c r="L60">
        <v>7.7160000000000006E-2</v>
      </c>
      <c r="M60">
        <v>0.18823999999999999</v>
      </c>
      <c r="N60">
        <v>2.3501500000000002</v>
      </c>
      <c r="O60">
        <v>2016</v>
      </c>
    </row>
    <row r="61" spans="2:15" x14ac:dyDescent="0.35">
      <c r="B61" t="s">
        <v>70</v>
      </c>
      <c r="C61" t="s">
        <v>28</v>
      </c>
      <c r="D61">
        <v>59</v>
      </c>
      <c r="E61">
        <v>5.8220000000000001</v>
      </c>
      <c r="F61">
        <v>5.74</v>
      </c>
      <c r="G61">
        <v>5.9039999999999999</v>
      </c>
      <c r="H61">
        <v>0.79422000000000004</v>
      </c>
      <c r="I61">
        <v>0.83779000000000003</v>
      </c>
      <c r="J61">
        <v>0.46970000000000001</v>
      </c>
      <c r="K61">
        <v>0.50961000000000001</v>
      </c>
      <c r="L61">
        <v>7.7460000000000001E-2</v>
      </c>
      <c r="M61">
        <v>0.21698000000000001</v>
      </c>
      <c r="N61">
        <v>2.91635</v>
      </c>
      <c r="O61">
        <v>2016</v>
      </c>
    </row>
    <row r="62" spans="2:15" x14ac:dyDescent="0.35">
      <c r="B62" t="s">
        <v>75</v>
      </c>
      <c r="C62" t="s">
        <v>49</v>
      </c>
      <c r="D62">
        <v>60</v>
      </c>
      <c r="E62">
        <v>5.8129999999999997</v>
      </c>
      <c r="F62">
        <v>5.734</v>
      </c>
      <c r="G62">
        <v>5.8920000000000003</v>
      </c>
      <c r="H62">
        <v>1.2692000000000001</v>
      </c>
      <c r="I62">
        <v>1.0641099999999999</v>
      </c>
      <c r="J62">
        <v>0.64673999999999998</v>
      </c>
      <c r="K62">
        <v>0.18929000000000001</v>
      </c>
      <c r="L62">
        <v>1.8200000000000001E-2</v>
      </c>
      <c r="M62">
        <v>2.0250000000000001E-2</v>
      </c>
      <c r="N62">
        <v>2.6052499999999998</v>
      </c>
      <c r="O62">
        <v>2016</v>
      </c>
    </row>
    <row r="63" spans="2:15" x14ac:dyDescent="0.35">
      <c r="B63" t="s">
        <v>78</v>
      </c>
      <c r="C63" t="s">
        <v>49</v>
      </c>
      <c r="D63">
        <v>61</v>
      </c>
      <c r="E63">
        <v>5.8019999999999996</v>
      </c>
      <c r="F63">
        <v>5.7229999999999999</v>
      </c>
      <c r="G63">
        <v>5.8810000000000002</v>
      </c>
      <c r="H63">
        <v>1.13062</v>
      </c>
      <c r="I63">
        <v>1.04993</v>
      </c>
      <c r="J63">
        <v>0.63104000000000005</v>
      </c>
      <c r="K63">
        <v>0.29091</v>
      </c>
      <c r="L63">
        <v>0.17457</v>
      </c>
      <c r="M63">
        <v>0.13941999999999999</v>
      </c>
      <c r="N63">
        <v>2.3858199999999998</v>
      </c>
      <c r="O63">
        <v>2016</v>
      </c>
    </row>
    <row r="64" spans="2:15" x14ac:dyDescent="0.35">
      <c r="B64" t="s">
        <v>85</v>
      </c>
      <c r="C64" t="s">
        <v>13</v>
      </c>
      <c r="D64">
        <v>62</v>
      </c>
      <c r="E64">
        <v>5.7709999999999999</v>
      </c>
      <c r="F64">
        <v>5.67</v>
      </c>
      <c r="G64">
        <v>5.8719999999999999</v>
      </c>
      <c r="H64">
        <v>1.31141</v>
      </c>
      <c r="I64">
        <v>0.81825999999999999</v>
      </c>
      <c r="J64">
        <v>0.84141999999999995</v>
      </c>
      <c r="K64">
        <v>0.43596000000000001</v>
      </c>
      <c r="L64">
        <v>0.16578000000000001</v>
      </c>
      <c r="M64">
        <v>0.26322000000000001</v>
      </c>
      <c r="N64">
        <v>1.9344699999999999</v>
      </c>
      <c r="O64">
        <v>2016</v>
      </c>
    </row>
    <row r="65" spans="2:15" x14ac:dyDescent="0.35">
      <c r="B65" t="s">
        <v>74</v>
      </c>
      <c r="C65" t="s">
        <v>49</v>
      </c>
      <c r="D65">
        <v>63</v>
      </c>
      <c r="E65">
        <v>5.7679999999999998</v>
      </c>
      <c r="F65">
        <v>5.6829999999999998</v>
      </c>
      <c r="G65">
        <v>5.8529999999999998</v>
      </c>
      <c r="H65">
        <v>1.2994699999999999</v>
      </c>
      <c r="I65">
        <v>1.05613</v>
      </c>
      <c r="J65">
        <v>0.79151000000000005</v>
      </c>
      <c r="K65">
        <v>0.53164</v>
      </c>
      <c r="L65">
        <v>3.635E-2</v>
      </c>
      <c r="M65">
        <v>0.25738</v>
      </c>
      <c r="N65">
        <v>1.79522</v>
      </c>
      <c r="O65">
        <v>2016</v>
      </c>
    </row>
    <row r="66" spans="2:15" x14ac:dyDescent="0.35">
      <c r="B66" t="s">
        <v>77</v>
      </c>
      <c r="C66" t="s">
        <v>28</v>
      </c>
      <c r="D66">
        <v>64</v>
      </c>
      <c r="E66">
        <v>5.7430000000000003</v>
      </c>
      <c r="F66">
        <v>5.6470000000000002</v>
      </c>
      <c r="G66">
        <v>5.8390000000000004</v>
      </c>
      <c r="H66">
        <v>0.99602000000000002</v>
      </c>
      <c r="I66">
        <v>0.81254999999999999</v>
      </c>
      <c r="J66">
        <v>0.62994000000000006</v>
      </c>
      <c r="K66">
        <v>0.37502000000000002</v>
      </c>
      <c r="L66">
        <v>5.2920000000000002E-2</v>
      </c>
      <c r="M66">
        <v>0.14527000000000001</v>
      </c>
      <c r="N66">
        <v>2.7311700000000001</v>
      </c>
      <c r="O66">
        <v>2016</v>
      </c>
    </row>
    <row r="67" spans="2:15" x14ac:dyDescent="0.35">
      <c r="B67" t="s">
        <v>89</v>
      </c>
      <c r="C67" t="s">
        <v>49</v>
      </c>
      <c r="D67">
        <v>65</v>
      </c>
      <c r="E67">
        <v>5.6580000000000004</v>
      </c>
      <c r="F67">
        <v>5.58</v>
      </c>
      <c r="G67">
        <v>5.7359999999999998</v>
      </c>
      <c r="H67">
        <v>1.0801700000000001</v>
      </c>
      <c r="I67">
        <v>1.03817</v>
      </c>
      <c r="J67">
        <v>0.44006000000000001</v>
      </c>
      <c r="K67">
        <v>0.37408000000000002</v>
      </c>
      <c r="L67">
        <v>0.28466999999999998</v>
      </c>
      <c r="M67">
        <v>0.22567000000000001</v>
      </c>
      <c r="N67">
        <v>2.21489</v>
      </c>
      <c r="O67">
        <v>2016</v>
      </c>
    </row>
    <row r="68" spans="2:15" x14ac:dyDescent="0.35">
      <c r="B68" t="s">
        <v>90</v>
      </c>
      <c r="C68" t="s">
        <v>91</v>
      </c>
      <c r="D68">
        <v>66</v>
      </c>
      <c r="E68">
        <v>5.6479999999999997</v>
      </c>
      <c r="F68">
        <v>5.5069999999999997</v>
      </c>
      <c r="G68">
        <v>5.7889999999999997</v>
      </c>
      <c r="H68">
        <v>1.1437200000000001</v>
      </c>
      <c r="I68">
        <v>0.75695000000000001</v>
      </c>
      <c r="J68">
        <v>0.66188999999999998</v>
      </c>
      <c r="K68">
        <v>0.46145000000000003</v>
      </c>
      <c r="L68">
        <v>5.203E-2</v>
      </c>
      <c r="M68">
        <v>0.36951000000000001</v>
      </c>
      <c r="N68">
        <v>2.2022300000000001</v>
      </c>
      <c r="O68">
        <v>2016</v>
      </c>
    </row>
    <row r="69" spans="2:15" x14ac:dyDescent="0.35">
      <c r="B69" t="s">
        <v>82</v>
      </c>
      <c r="C69" t="s">
        <v>26</v>
      </c>
      <c r="D69">
        <v>67</v>
      </c>
      <c r="E69">
        <v>5.6150000000000002</v>
      </c>
      <c r="F69">
        <v>5.4059999999999997</v>
      </c>
      <c r="G69">
        <v>5.8239999999999998</v>
      </c>
      <c r="H69">
        <v>1.0668800000000001</v>
      </c>
      <c r="I69">
        <v>0.95076000000000005</v>
      </c>
      <c r="J69">
        <v>0.52303999999999995</v>
      </c>
      <c r="K69">
        <v>0.40672000000000003</v>
      </c>
      <c r="L69">
        <v>0.10339</v>
      </c>
      <c r="M69">
        <v>0.17086999999999999</v>
      </c>
      <c r="N69">
        <v>2.3937400000000002</v>
      </c>
      <c r="O69">
        <v>2016</v>
      </c>
    </row>
    <row r="70" spans="2:15" x14ac:dyDescent="0.35">
      <c r="B70" t="s">
        <v>110</v>
      </c>
      <c r="C70" t="s">
        <v>49</v>
      </c>
      <c r="D70">
        <v>68</v>
      </c>
      <c r="E70">
        <v>5.56</v>
      </c>
      <c r="F70">
        <v>5.4859999999999998</v>
      </c>
      <c r="G70">
        <v>5.6340000000000003</v>
      </c>
      <c r="H70">
        <v>1.2178800000000001</v>
      </c>
      <c r="I70">
        <v>0.95025000000000004</v>
      </c>
      <c r="J70">
        <v>0.63951999999999998</v>
      </c>
      <c r="K70">
        <v>0.27995999999999999</v>
      </c>
      <c r="L70">
        <v>8.8900000000000007E-2</v>
      </c>
      <c r="M70">
        <v>0.17444999999999999</v>
      </c>
      <c r="N70">
        <v>2.2085900000000001</v>
      </c>
      <c r="O70">
        <v>2016</v>
      </c>
    </row>
    <row r="71" spans="2:15" x14ac:dyDescent="0.35">
      <c r="B71" t="s">
        <v>86</v>
      </c>
      <c r="C71" t="s">
        <v>13</v>
      </c>
      <c r="D71">
        <v>69</v>
      </c>
      <c r="E71">
        <v>5.5460000000000003</v>
      </c>
      <c r="F71">
        <v>5.4420000000000002</v>
      </c>
      <c r="G71">
        <v>5.65</v>
      </c>
      <c r="H71">
        <v>1.31857</v>
      </c>
      <c r="I71">
        <v>0.70696999999999999</v>
      </c>
      <c r="J71">
        <v>0.8488</v>
      </c>
      <c r="K71">
        <v>0.29507</v>
      </c>
      <c r="L71">
        <v>5.228E-2</v>
      </c>
      <c r="M71">
        <v>0.27905999999999997</v>
      </c>
      <c r="N71">
        <v>2.0449700000000002</v>
      </c>
      <c r="O71">
        <v>2016</v>
      </c>
    </row>
    <row r="72" spans="2:15" x14ac:dyDescent="0.35">
      <c r="B72" t="s">
        <v>72</v>
      </c>
      <c r="C72" t="s">
        <v>28</v>
      </c>
      <c r="D72">
        <v>70</v>
      </c>
      <c r="E72">
        <v>5.5380000000000003</v>
      </c>
      <c r="F72">
        <v>5.4530000000000003</v>
      </c>
      <c r="G72">
        <v>5.6230000000000002</v>
      </c>
      <c r="H72">
        <v>0.89373000000000002</v>
      </c>
      <c r="I72">
        <v>1.11111</v>
      </c>
      <c r="J72">
        <v>0.58294999999999997</v>
      </c>
      <c r="K72">
        <v>0.46234999999999998</v>
      </c>
      <c r="L72">
        <v>7.3959999999999998E-2</v>
      </c>
      <c r="M72">
        <v>0.25296000000000002</v>
      </c>
      <c r="N72">
        <v>2.1609099999999999</v>
      </c>
      <c r="O72">
        <v>2016</v>
      </c>
    </row>
    <row r="73" spans="2:15" x14ac:dyDescent="0.35">
      <c r="B73" t="s">
        <v>107</v>
      </c>
      <c r="C73" t="s">
        <v>49</v>
      </c>
      <c r="D73">
        <v>71</v>
      </c>
      <c r="E73">
        <v>5.5279999999999996</v>
      </c>
      <c r="F73">
        <v>5.4269999999999996</v>
      </c>
      <c r="G73">
        <v>5.6289999999999996</v>
      </c>
      <c r="H73">
        <v>1.1697</v>
      </c>
      <c r="I73">
        <v>0.72802999999999995</v>
      </c>
      <c r="J73">
        <v>0.67601999999999995</v>
      </c>
      <c r="K73">
        <v>0.36712</v>
      </c>
      <c r="L73">
        <v>6.79E-3</v>
      </c>
      <c r="M73">
        <v>0.12889</v>
      </c>
      <c r="N73">
        <v>2.4518399999999998</v>
      </c>
      <c r="O73">
        <v>2016</v>
      </c>
    </row>
    <row r="74" spans="2:15" x14ac:dyDescent="0.35">
      <c r="B74" t="s">
        <v>93</v>
      </c>
      <c r="C74" t="s">
        <v>49</v>
      </c>
      <c r="D74">
        <v>72</v>
      </c>
      <c r="E74">
        <v>5.5170000000000003</v>
      </c>
      <c r="F74">
        <v>5.4370000000000003</v>
      </c>
      <c r="G74">
        <v>5.5970000000000004</v>
      </c>
      <c r="H74">
        <v>1.2796400000000001</v>
      </c>
      <c r="I74">
        <v>1.0516300000000001</v>
      </c>
      <c r="J74">
        <v>0.68098000000000003</v>
      </c>
      <c r="K74">
        <v>0.41510999999999998</v>
      </c>
      <c r="L74">
        <v>0.18518999999999999</v>
      </c>
      <c r="M74">
        <v>8.4229999999999999E-2</v>
      </c>
      <c r="N74">
        <v>1.81985</v>
      </c>
      <c r="O74">
        <v>2016</v>
      </c>
    </row>
    <row r="75" spans="2:15" x14ac:dyDescent="0.35">
      <c r="B75" t="s">
        <v>84</v>
      </c>
      <c r="C75" t="s">
        <v>28</v>
      </c>
      <c r="D75">
        <v>73</v>
      </c>
      <c r="E75">
        <v>5.51</v>
      </c>
      <c r="F75">
        <v>5.3150000000000004</v>
      </c>
      <c r="G75">
        <v>5.7050000000000001</v>
      </c>
      <c r="H75">
        <v>0.89332999999999996</v>
      </c>
      <c r="I75">
        <v>0.96372000000000002</v>
      </c>
      <c r="J75">
        <v>0.59469000000000005</v>
      </c>
      <c r="K75">
        <v>0.43597000000000002</v>
      </c>
      <c r="L75">
        <v>4.2939999999999999E-2</v>
      </c>
      <c r="M75">
        <v>0.22245000000000001</v>
      </c>
      <c r="N75">
        <v>2.3568199999999999</v>
      </c>
      <c r="O75">
        <v>2016</v>
      </c>
    </row>
    <row r="76" spans="2:15" x14ac:dyDescent="0.35">
      <c r="B76" t="s">
        <v>81</v>
      </c>
      <c r="C76" t="s">
        <v>49</v>
      </c>
      <c r="D76">
        <v>74</v>
      </c>
      <c r="E76">
        <v>5.4880000000000004</v>
      </c>
      <c r="F76">
        <v>5.4020000000000001</v>
      </c>
      <c r="G76">
        <v>5.5739999999999998</v>
      </c>
      <c r="H76">
        <v>1.18649</v>
      </c>
      <c r="I76">
        <v>0.60809000000000002</v>
      </c>
      <c r="J76">
        <v>0.70523999999999998</v>
      </c>
      <c r="K76">
        <v>0.23907</v>
      </c>
      <c r="L76">
        <v>4.002E-2</v>
      </c>
      <c r="M76">
        <v>0.18434</v>
      </c>
      <c r="N76">
        <v>2.5246200000000001</v>
      </c>
      <c r="O76">
        <v>2016</v>
      </c>
    </row>
    <row r="77" spans="2:15" x14ac:dyDescent="0.35">
      <c r="B77" t="s">
        <v>92</v>
      </c>
      <c r="C77" t="s">
        <v>57</v>
      </c>
      <c r="D77">
        <v>75</v>
      </c>
      <c r="E77">
        <v>5.4580000000000002</v>
      </c>
      <c r="F77">
        <v>5.3620000000000001</v>
      </c>
      <c r="G77">
        <v>5.5540000000000003</v>
      </c>
      <c r="H77">
        <v>1.5106999999999999</v>
      </c>
      <c r="I77">
        <v>0.87021000000000004</v>
      </c>
      <c r="J77">
        <v>0.95277000000000001</v>
      </c>
      <c r="K77">
        <v>0.48079</v>
      </c>
      <c r="L77">
        <v>0.31646999999999997</v>
      </c>
      <c r="M77">
        <v>0.40096999999999999</v>
      </c>
      <c r="N77">
        <v>0.92613999999999996</v>
      </c>
      <c r="O77">
        <v>2016</v>
      </c>
    </row>
    <row r="78" spans="2:15" x14ac:dyDescent="0.35">
      <c r="B78" t="s">
        <v>209</v>
      </c>
      <c r="C78" t="s">
        <v>91</v>
      </c>
      <c r="D78">
        <v>76</v>
      </c>
      <c r="E78">
        <v>5.44</v>
      </c>
      <c r="F78">
        <v>5.3209999999999997</v>
      </c>
      <c r="G78">
        <v>5.5590000000000002</v>
      </c>
      <c r="H78">
        <v>0</v>
      </c>
      <c r="I78">
        <v>0.33612999999999998</v>
      </c>
      <c r="J78">
        <v>0.11466</v>
      </c>
      <c r="K78">
        <v>0.56777999999999995</v>
      </c>
      <c r="L78">
        <v>0.31180000000000002</v>
      </c>
      <c r="M78">
        <v>0.27224999999999999</v>
      </c>
      <c r="N78">
        <v>3.83772</v>
      </c>
      <c r="O78">
        <v>2016</v>
      </c>
    </row>
    <row r="79" spans="2:15" x14ac:dyDescent="0.35">
      <c r="B79" t="s">
        <v>88</v>
      </c>
      <c r="C79" t="s">
        <v>49</v>
      </c>
      <c r="D79">
        <v>77</v>
      </c>
      <c r="E79">
        <v>5.4009999999999998</v>
      </c>
      <c r="F79">
        <v>5.3079999999999998</v>
      </c>
      <c r="G79">
        <v>5.4939999999999998</v>
      </c>
      <c r="H79">
        <v>0.90144999999999997</v>
      </c>
      <c r="I79">
        <v>0.66061999999999999</v>
      </c>
      <c r="J79">
        <v>0.54</v>
      </c>
      <c r="K79">
        <v>0.14396</v>
      </c>
      <c r="L79">
        <v>6.547E-2</v>
      </c>
      <c r="M79">
        <v>0.27992</v>
      </c>
      <c r="N79">
        <v>2.8099799999999999</v>
      </c>
      <c r="O79">
        <v>2016</v>
      </c>
    </row>
    <row r="80" spans="2:15" x14ac:dyDescent="0.35">
      <c r="B80" t="s">
        <v>96</v>
      </c>
      <c r="C80" t="s">
        <v>26</v>
      </c>
      <c r="D80">
        <v>78</v>
      </c>
      <c r="E80">
        <v>5.3890000000000002</v>
      </c>
      <c r="F80">
        <v>5.2949999999999999</v>
      </c>
      <c r="G80">
        <v>5.4829999999999997</v>
      </c>
      <c r="H80">
        <v>1.16492</v>
      </c>
      <c r="I80">
        <v>0.87717000000000001</v>
      </c>
      <c r="J80">
        <v>0.64717999999999998</v>
      </c>
      <c r="K80">
        <v>0.23888999999999999</v>
      </c>
      <c r="L80">
        <v>0.12348000000000001</v>
      </c>
      <c r="M80">
        <v>4.7070000000000001E-2</v>
      </c>
      <c r="N80">
        <v>2.29074</v>
      </c>
      <c r="O80">
        <v>2016</v>
      </c>
    </row>
    <row r="81" spans="2:15" x14ac:dyDescent="0.35">
      <c r="B81" t="s">
        <v>94</v>
      </c>
      <c r="C81" t="s">
        <v>41</v>
      </c>
      <c r="D81">
        <v>79</v>
      </c>
      <c r="E81">
        <v>5.3140000000000001</v>
      </c>
      <c r="F81">
        <v>5.2370000000000001</v>
      </c>
      <c r="G81">
        <v>5.391</v>
      </c>
      <c r="H81">
        <v>0.95104</v>
      </c>
      <c r="I81">
        <v>0.87624999999999997</v>
      </c>
      <c r="J81">
        <v>0.49374000000000001</v>
      </c>
      <c r="K81">
        <v>0.39237</v>
      </c>
      <c r="L81">
        <v>3.2200000000000002E-3</v>
      </c>
      <c r="M81">
        <v>0.56520999999999999</v>
      </c>
      <c r="N81">
        <v>2.0317099999999999</v>
      </c>
      <c r="O81">
        <v>2016</v>
      </c>
    </row>
    <row r="82" spans="2:15" x14ac:dyDescent="0.35">
      <c r="B82" t="s">
        <v>103</v>
      </c>
      <c r="C82" t="s">
        <v>26</v>
      </c>
      <c r="D82">
        <v>80</v>
      </c>
      <c r="E82">
        <v>5.3029999999999999</v>
      </c>
      <c r="F82">
        <v>5.1870000000000003</v>
      </c>
      <c r="G82">
        <v>5.4189999999999996</v>
      </c>
      <c r="H82">
        <v>0.99673</v>
      </c>
      <c r="I82">
        <v>0.86216000000000004</v>
      </c>
      <c r="J82">
        <v>0.60711999999999999</v>
      </c>
      <c r="K82">
        <v>0.36022999999999999</v>
      </c>
      <c r="L82">
        <v>0.13297</v>
      </c>
      <c r="M82">
        <v>0.14262</v>
      </c>
      <c r="N82">
        <v>2.2014200000000002</v>
      </c>
      <c r="O82">
        <v>2016</v>
      </c>
    </row>
    <row r="83" spans="2:15" x14ac:dyDescent="0.35">
      <c r="B83" t="s">
        <v>101</v>
      </c>
      <c r="C83" t="s">
        <v>49</v>
      </c>
      <c r="D83">
        <v>81</v>
      </c>
      <c r="E83">
        <v>5.2910000000000004</v>
      </c>
      <c r="F83">
        <v>5.226</v>
      </c>
      <c r="G83">
        <v>5.3559999999999999</v>
      </c>
      <c r="H83">
        <v>1.1237299999999999</v>
      </c>
      <c r="I83">
        <v>0.76041999999999998</v>
      </c>
      <c r="J83">
        <v>0.54503999999999997</v>
      </c>
      <c r="K83">
        <v>0.35326999999999997</v>
      </c>
      <c r="L83">
        <v>0.17913999999999999</v>
      </c>
      <c r="M83">
        <v>5.6399999999999999E-2</v>
      </c>
      <c r="N83">
        <v>2.2734999999999999</v>
      </c>
      <c r="O83">
        <v>2016</v>
      </c>
    </row>
    <row r="84" spans="2:15" x14ac:dyDescent="0.35">
      <c r="B84" t="s">
        <v>111</v>
      </c>
      <c r="C84" t="s">
        <v>41</v>
      </c>
      <c r="D84">
        <v>82</v>
      </c>
      <c r="E84">
        <v>5.2789999999999999</v>
      </c>
      <c r="F84">
        <v>5.16</v>
      </c>
      <c r="G84">
        <v>5.3979999999999997</v>
      </c>
      <c r="H84">
        <v>0.81216999999999995</v>
      </c>
      <c r="I84">
        <v>0.87877000000000005</v>
      </c>
      <c r="J84">
        <v>0.47036</v>
      </c>
      <c r="K84">
        <v>0.54854000000000003</v>
      </c>
      <c r="L84">
        <v>0.11756999999999999</v>
      </c>
      <c r="M84">
        <v>0.21673999999999999</v>
      </c>
      <c r="N84">
        <v>2.2348400000000002</v>
      </c>
      <c r="O84">
        <v>2016</v>
      </c>
    </row>
    <row r="85" spans="2:15" x14ac:dyDescent="0.35">
      <c r="B85" t="s">
        <v>105</v>
      </c>
      <c r="C85" t="s">
        <v>57</v>
      </c>
      <c r="D85">
        <v>83</v>
      </c>
      <c r="E85">
        <v>5.2450000000000001</v>
      </c>
      <c r="F85">
        <v>5.1989999999999998</v>
      </c>
      <c r="G85">
        <v>5.2910000000000004</v>
      </c>
      <c r="H85">
        <v>1.0278</v>
      </c>
      <c r="I85">
        <v>0.79381000000000002</v>
      </c>
      <c r="J85">
        <v>0.73560999999999999</v>
      </c>
      <c r="K85">
        <v>0.44012000000000001</v>
      </c>
      <c r="L85">
        <v>2.7449999999999999E-2</v>
      </c>
      <c r="M85">
        <v>4.9590000000000002E-2</v>
      </c>
      <c r="N85">
        <v>2.1708699999999999</v>
      </c>
      <c r="O85">
        <v>2016</v>
      </c>
    </row>
    <row r="86" spans="2:15" x14ac:dyDescent="0.35">
      <c r="B86" t="s">
        <v>99</v>
      </c>
      <c r="C86" t="s">
        <v>100</v>
      </c>
      <c r="D86">
        <v>84</v>
      </c>
      <c r="E86">
        <v>5.1959999999999997</v>
      </c>
      <c r="F86">
        <v>5.1379999999999999</v>
      </c>
      <c r="G86">
        <v>5.2539999999999996</v>
      </c>
      <c r="H86">
        <v>0.85270000000000001</v>
      </c>
      <c r="I86">
        <v>0.90835999999999995</v>
      </c>
      <c r="J86">
        <v>0.49758999999999998</v>
      </c>
      <c r="K86">
        <v>0.46073999999999998</v>
      </c>
      <c r="L86">
        <v>0.16159999999999999</v>
      </c>
      <c r="M86">
        <v>0.48546</v>
      </c>
      <c r="N86">
        <v>1.8291599999999999</v>
      </c>
      <c r="O86">
        <v>2016</v>
      </c>
    </row>
    <row r="87" spans="2:15" x14ac:dyDescent="0.35">
      <c r="B87" t="s">
        <v>97</v>
      </c>
      <c r="C87" t="s">
        <v>49</v>
      </c>
      <c r="D87">
        <v>85</v>
      </c>
      <c r="E87">
        <v>5.1849999999999996</v>
      </c>
      <c r="F87">
        <v>5.1029999999999998</v>
      </c>
      <c r="G87">
        <v>5.2670000000000003</v>
      </c>
      <c r="H87">
        <v>0.56044000000000005</v>
      </c>
      <c r="I87">
        <v>0.95433999999999997</v>
      </c>
      <c r="J87">
        <v>0.55449000000000004</v>
      </c>
      <c r="K87">
        <v>0.40211999999999998</v>
      </c>
      <c r="L87">
        <v>4.7620000000000003E-2</v>
      </c>
      <c r="M87">
        <v>0.38431999999999999</v>
      </c>
      <c r="N87">
        <v>2.2813599999999998</v>
      </c>
      <c r="O87">
        <v>2016</v>
      </c>
    </row>
    <row r="88" spans="2:15" x14ac:dyDescent="0.35">
      <c r="B88" t="s">
        <v>108</v>
      </c>
      <c r="C88" t="s">
        <v>49</v>
      </c>
      <c r="D88">
        <v>86</v>
      </c>
      <c r="E88">
        <v>5.1769999999999996</v>
      </c>
      <c r="F88">
        <v>5.0830000000000002</v>
      </c>
      <c r="G88">
        <v>5.2709999999999999</v>
      </c>
      <c r="H88">
        <v>1.03437</v>
      </c>
      <c r="I88">
        <v>0.81328999999999996</v>
      </c>
      <c r="J88">
        <v>0.64580000000000004</v>
      </c>
      <c r="K88">
        <v>0.15717999999999999</v>
      </c>
      <c r="L88">
        <v>4.3389999999999998E-2</v>
      </c>
      <c r="M88">
        <v>0.20737</v>
      </c>
      <c r="N88">
        <v>2.2753899999999998</v>
      </c>
      <c r="O88">
        <v>2016</v>
      </c>
    </row>
    <row r="89" spans="2:15" x14ac:dyDescent="0.35">
      <c r="B89" t="s">
        <v>117</v>
      </c>
      <c r="C89" t="s">
        <v>49</v>
      </c>
      <c r="D89">
        <v>87</v>
      </c>
      <c r="E89">
        <v>5.1630000000000003</v>
      </c>
      <c r="F89">
        <v>5.0629999999999997</v>
      </c>
      <c r="G89">
        <v>5.2629999999999999</v>
      </c>
      <c r="H89">
        <v>0.93383000000000005</v>
      </c>
      <c r="I89">
        <v>0.64366999999999996</v>
      </c>
      <c r="J89">
        <v>0.70765999999999996</v>
      </c>
      <c r="K89">
        <v>9.511E-2</v>
      </c>
      <c r="L89">
        <v>0</v>
      </c>
      <c r="M89">
        <v>0.29888999999999999</v>
      </c>
      <c r="N89">
        <v>2.4840599999999999</v>
      </c>
      <c r="O89">
        <v>2016</v>
      </c>
    </row>
    <row r="90" spans="2:15" x14ac:dyDescent="0.35">
      <c r="B90" t="s">
        <v>104</v>
      </c>
      <c r="C90" t="s">
        <v>49</v>
      </c>
      <c r="D90">
        <v>88</v>
      </c>
      <c r="E90">
        <v>5.1609999999999996</v>
      </c>
      <c r="F90">
        <v>5.0549999999999997</v>
      </c>
      <c r="G90">
        <v>5.2670000000000003</v>
      </c>
      <c r="H90">
        <v>1.0783799999999999</v>
      </c>
      <c r="I90">
        <v>0.74173</v>
      </c>
      <c r="J90">
        <v>0.63532999999999995</v>
      </c>
      <c r="K90">
        <v>0.15110999999999999</v>
      </c>
      <c r="L90">
        <v>0.12720999999999999</v>
      </c>
      <c r="M90">
        <v>0.17191000000000001</v>
      </c>
      <c r="N90">
        <v>2.2553100000000001</v>
      </c>
      <c r="O90">
        <v>2016</v>
      </c>
    </row>
    <row r="91" spans="2:15" x14ac:dyDescent="0.35">
      <c r="B91" t="s">
        <v>119</v>
      </c>
      <c r="C91" t="s">
        <v>28</v>
      </c>
      <c r="D91">
        <v>89</v>
      </c>
      <c r="E91">
        <v>5.1550000000000002</v>
      </c>
      <c r="F91">
        <v>5.0369999999999999</v>
      </c>
      <c r="G91">
        <v>5.2729999999999997</v>
      </c>
      <c r="H91">
        <v>1.0278700000000001</v>
      </c>
      <c r="I91">
        <v>0.99495999999999996</v>
      </c>
      <c r="J91">
        <v>0.57669000000000004</v>
      </c>
      <c r="K91">
        <v>0.52259</v>
      </c>
      <c r="L91">
        <v>0.12372</v>
      </c>
      <c r="M91">
        <v>0.21285999999999999</v>
      </c>
      <c r="N91">
        <v>1.6962600000000001</v>
      </c>
      <c r="O91">
        <v>2016</v>
      </c>
    </row>
    <row r="92" spans="2:15" x14ac:dyDescent="0.35">
      <c r="B92" t="s">
        <v>113</v>
      </c>
      <c r="C92" t="s">
        <v>26</v>
      </c>
      <c r="D92">
        <v>90</v>
      </c>
      <c r="E92">
        <v>5.1509999999999998</v>
      </c>
      <c r="F92">
        <v>5.0579999999999998</v>
      </c>
      <c r="G92">
        <v>5.2439999999999998</v>
      </c>
      <c r="H92">
        <v>0.84057999999999999</v>
      </c>
      <c r="I92">
        <v>0.38595000000000002</v>
      </c>
      <c r="J92">
        <v>0.59470999999999996</v>
      </c>
      <c r="K92">
        <v>0.25646000000000002</v>
      </c>
      <c r="L92">
        <v>8.4040000000000004E-2</v>
      </c>
      <c r="M92">
        <v>4.0529999999999997E-2</v>
      </c>
      <c r="N92">
        <v>2.9489100000000001</v>
      </c>
      <c r="O92">
        <v>2016</v>
      </c>
    </row>
    <row r="93" spans="2:15" x14ac:dyDescent="0.35">
      <c r="B93" t="s">
        <v>125</v>
      </c>
      <c r="C93" t="s">
        <v>49</v>
      </c>
      <c r="D93">
        <v>91</v>
      </c>
      <c r="E93">
        <v>5.1449999999999996</v>
      </c>
      <c r="F93">
        <v>5.056</v>
      </c>
      <c r="G93">
        <v>5.234</v>
      </c>
      <c r="H93">
        <v>1.24142</v>
      </c>
      <c r="I93">
        <v>0.93164000000000002</v>
      </c>
      <c r="J93">
        <v>0.67608000000000001</v>
      </c>
      <c r="K93">
        <v>0.19769999999999999</v>
      </c>
      <c r="L93">
        <v>4.4720000000000003E-2</v>
      </c>
      <c r="M93">
        <v>9.9000000000000005E-2</v>
      </c>
      <c r="N93">
        <v>1.9547300000000001</v>
      </c>
      <c r="O93">
        <v>2016</v>
      </c>
    </row>
    <row r="94" spans="2:15" x14ac:dyDescent="0.35">
      <c r="B94" t="s">
        <v>102</v>
      </c>
      <c r="C94" t="s">
        <v>100</v>
      </c>
      <c r="D94">
        <v>92</v>
      </c>
      <c r="E94">
        <v>5.1319999999999997</v>
      </c>
      <c r="F94">
        <v>5.0380000000000003</v>
      </c>
      <c r="G94">
        <v>5.226</v>
      </c>
      <c r="H94">
        <v>0.68815999999999999</v>
      </c>
      <c r="I94">
        <v>0.26135000000000003</v>
      </c>
      <c r="J94">
        <v>0.40305999999999997</v>
      </c>
      <c r="K94">
        <v>0.14621999999999999</v>
      </c>
      <c r="L94">
        <v>0.13880000000000001</v>
      </c>
      <c r="M94">
        <v>0.31185000000000002</v>
      </c>
      <c r="N94">
        <v>3.1828599999999998</v>
      </c>
      <c r="O94">
        <v>2016</v>
      </c>
    </row>
    <row r="95" spans="2:15" x14ac:dyDescent="0.35">
      <c r="B95" t="s">
        <v>124</v>
      </c>
      <c r="C95" t="s">
        <v>26</v>
      </c>
      <c r="D95">
        <v>93</v>
      </c>
      <c r="E95">
        <v>5.1289999999999996</v>
      </c>
      <c r="F95">
        <v>5.0309999999999997</v>
      </c>
      <c r="G95">
        <v>5.2270000000000003</v>
      </c>
      <c r="H95">
        <v>1.1226799999999999</v>
      </c>
      <c r="I95">
        <v>0.64183999999999997</v>
      </c>
      <c r="J95">
        <v>0.76171</v>
      </c>
      <c r="K95">
        <v>0.26228000000000001</v>
      </c>
      <c r="L95">
        <v>3.0609999999999998E-2</v>
      </c>
      <c r="M95">
        <v>0.23693</v>
      </c>
      <c r="N95">
        <v>2.0733899999999998</v>
      </c>
      <c r="O95">
        <v>2016</v>
      </c>
    </row>
    <row r="96" spans="2:15" x14ac:dyDescent="0.35">
      <c r="B96" t="s">
        <v>109</v>
      </c>
      <c r="C96" t="s">
        <v>13</v>
      </c>
      <c r="D96">
        <v>94</v>
      </c>
      <c r="E96">
        <v>5.1230000000000002</v>
      </c>
      <c r="F96">
        <v>5.03</v>
      </c>
      <c r="G96">
        <v>5.2160000000000002</v>
      </c>
      <c r="H96">
        <v>1.27607</v>
      </c>
      <c r="I96">
        <v>0.94367000000000001</v>
      </c>
      <c r="J96">
        <v>0.79362999999999995</v>
      </c>
      <c r="K96">
        <v>0.44727</v>
      </c>
      <c r="L96">
        <v>1.521E-2</v>
      </c>
      <c r="M96">
        <v>0.11691</v>
      </c>
      <c r="N96">
        <v>1.5301499999999999</v>
      </c>
      <c r="O96">
        <v>2016</v>
      </c>
    </row>
    <row r="97" spans="2:15" x14ac:dyDescent="0.35">
      <c r="B97" t="s">
        <v>114</v>
      </c>
      <c r="C97" t="s">
        <v>49</v>
      </c>
      <c r="D97">
        <v>95</v>
      </c>
      <c r="E97">
        <v>5.1210000000000004</v>
      </c>
      <c r="F97">
        <v>5.0170000000000003</v>
      </c>
      <c r="G97">
        <v>5.2249999999999996</v>
      </c>
      <c r="H97">
        <v>1.0193000000000001</v>
      </c>
      <c r="I97">
        <v>0.78236000000000006</v>
      </c>
      <c r="J97">
        <v>0.64737999999999996</v>
      </c>
      <c r="K97">
        <v>0.27667999999999998</v>
      </c>
      <c r="L97">
        <v>7.0470000000000005E-2</v>
      </c>
      <c r="M97">
        <v>0.23507</v>
      </c>
      <c r="N97">
        <v>2.0894699999999999</v>
      </c>
      <c r="O97">
        <v>2016</v>
      </c>
    </row>
    <row r="98" spans="2:15" x14ac:dyDescent="0.35">
      <c r="B98" t="s">
        <v>95</v>
      </c>
      <c r="C98" t="s">
        <v>41</v>
      </c>
      <c r="D98">
        <v>96</v>
      </c>
      <c r="E98">
        <v>5.0609999999999999</v>
      </c>
      <c r="F98">
        <v>4.9909999999999997</v>
      </c>
      <c r="G98">
        <v>5.1310000000000002</v>
      </c>
      <c r="H98">
        <v>0.74036999999999997</v>
      </c>
      <c r="I98">
        <v>0.79117000000000004</v>
      </c>
      <c r="J98">
        <v>0.66156999999999999</v>
      </c>
      <c r="K98">
        <v>0.55954000000000004</v>
      </c>
      <c r="L98">
        <v>0.11556</v>
      </c>
      <c r="M98">
        <v>0.25074999999999997</v>
      </c>
      <c r="N98">
        <v>1.9418</v>
      </c>
      <c r="O98">
        <v>2016</v>
      </c>
    </row>
    <row r="99" spans="2:15" x14ac:dyDescent="0.35">
      <c r="B99" t="s">
        <v>210</v>
      </c>
      <c r="C99" t="s">
        <v>91</v>
      </c>
      <c r="D99">
        <v>97</v>
      </c>
      <c r="E99">
        <v>5.0570000000000004</v>
      </c>
      <c r="F99">
        <v>4.9340000000000002</v>
      </c>
      <c r="G99">
        <v>5.18</v>
      </c>
      <c r="H99">
        <v>0.25557999999999997</v>
      </c>
      <c r="I99">
        <v>0.75861999999999996</v>
      </c>
      <c r="J99">
        <v>0.33107999999999999</v>
      </c>
      <c r="K99">
        <v>0.39129999999999998</v>
      </c>
      <c r="L99">
        <v>0.36793999999999999</v>
      </c>
      <c r="M99">
        <v>0.51478999999999997</v>
      </c>
      <c r="N99">
        <v>2.4380099999999998</v>
      </c>
      <c r="O99">
        <v>2016</v>
      </c>
    </row>
    <row r="100" spans="2:15" x14ac:dyDescent="0.35">
      <c r="B100" t="s">
        <v>128</v>
      </c>
      <c r="C100" t="s">
        <v>26</v>
      </c>
      <c r="D100">
        <v>98</v>
      </c>
      <c r="E100">
        <v>5.0449999999999999</v>
      </c>
      <c r="F100">
        <v>4.9649999999999999</v>
      </c>
      <c r="G100">
        <v>5.125</v>
      </c>
      <c r="H100">
        <v>0.97724</v>
      </c>
      <c r="I100">
        <v>0.43164999999999998</v>
      </c>
      <c r="J100">
        <v>0.59577000000000002</v>
      </c>
      <c r="K100">
        <v>0.23552999999999999</v>
      </c>
      <c r="L100">
        <v>8.1699999999999995E-2</v>
      </c>
      <c r="M100">
        <v>3.9359999999999999E-2</v>
      </c>
      <c r="N100">
        <v>2.6841300000000001</v>
      </c>
      <c r="O100">
        <v>2016</v>
      </c>
    </row>
    <row r="101" spans="2:15" x14ac:dyDescent="0.35">
      <c r="B101" t="s">
        <v>123</v>
      </c>
      <c r="C101" t="s">
        <v>13</v>
      </c>
      <c r="D101">
        <v>99</v>
      </c>
      <c r="E101">
        <v>5.0330000000000004</v>
      </c>
      <c r="F101">
        <v>4.9349999999999996</v>
      </c>
      <c r="G101">
        <v>5.1310000000000002</v>
      </c>
      <c r="H101">
        <v>1.2488600000000001</v>
      </c>
      <c r="I101">
        <v>0.75473000000000001</v>
      </c>
      <c r="J101">
        <v>0.80028999999999995</v>
      </c>
      <c r="K101">
        <v>5.8220000000000001E-2</v>
      </c>
      <c r="L101">
        <v>4.1270000000000001E-2</v>
      </c>
      <c r="M101">
        <v>0</v>
      </c>
      <c r="N101">
        <v>2.1294400000000002</v>
      </c>
      <c r="O101">
        <v>2016</v>
      </c>
    </row>
    <row r="102" spans="2:15" x14ac:dyDescent="0.35">
      <c r="B102" t="s">
        <v>127</v>
      </c>
      <c r="C102" t="s">
        <v>49</v>
      </c>
      <c r="D102">
        <v>100</v>
      </c>
      <c r="E102">
        <v>4.9960000000000004</v>
      </c>
      <c r="F102">
        <v>4.923</v>
      </c>
      <c r="G102">
        <v>5.069</v>
      </c>
      <c r="H102">
        <v>0.48835000000000001</v>
      </c>
      <c r="I102">
        <v>0.75602000000000003</v>
      </c>
      <c r="J102">
        <v>0.53119000000000005</v>
      </c>
      <c r="K102">
        <v>0.43408000000000002</v>
      </c>
      <c r="L102">
        <v>0.13508999999999999</v>
      </c>
      <c r="M102">
        <v>0.25997999999999999</v>
      </c>
      <c r="N102">
        <v>2.39106</v>
      </c>
      <c r="O102">
        <v>2016</v>
      </c>
    </row>
    <row r="103" spans="2:15" x14ac:dyDescent="0.35">
      <c r="B103" t="s">
        <v>121</v>
      </c>
      <c r="C103" t="s">
        <v>57</v>
      </c>
      <c r="D103">
        <v>101</v>
      </c>
      <c r="E103">
        <v>4.907</v>
      </c>
      <c r="F103">
        <v>4.8380000000000001</v>
      </c>
      <c r="G103">
        <v>4.976</v>
      </c>
      <c r="H103">
        <v>0.98853000000000002</v>
      </c>
      <c r="I103">
        <v>1.0898300000000001</v>
      </c>
      <c r="J103">
        <v>0.55469000000000002</v>
      </c>
      <c r="K103">
        <v>0.35971999999999998</v>
      </c>
      <c r="L103">
        <v>3.2849999999999997E-2</v>
      </c>
      <c r="M103">
        <v>0.34538999999999997</v>
      </c>
      <c r="N103">
        <v>1.53586</v>
      </c>
      <c r="O103">
        <v>2016</v>
      </c>
    </row>
    <row r="104" spans="2:15" x14ac:dyDescent="0.35">
      <c r="B104" t="s">
        <v>120</v>
      </c>
      <c r="C104" t="s">
        <v>41</v>
      </c>
      <c r="D104">
        <v>102</v>
      </c>
      <c r="E104">
        <v>4.8760000000000003</v>
      </c>
      <c r="F104">
        <v>4.742</v>
      </c>
      <c r="G104">
        <v>5.01</v>
      </c>
      <c r="H104">
        <v>0.68042000000000002</v>
      </c>
      <c r="I104">
        <v>0.54969999999999997</v>
      </c>
      <c r="J104">
        <v>0.38290999999999997</v>
      </c>
      <c r="K104">
        <v>0.52168000000000003</v>
      </c>
      <c r="L104">
        <v>0.22423000000000001</v>
      </c>
      <c r="M104">
        <v>0.43079000000000001</v>
      </c>
      <c r="N104">
        <v>2.0863700000000001</v>
      </c>
      <c r="O104">
        <v>2016</v>
      </c>
    </row>
    <row r="105" spans="2:15" x14ac:dyDescent="0.35">
      <c r="B105" t="s">
        <v>98</v>
      </c>
      <c r="C105" t="s">
        <v>91</v>
      </c>
      <c r="D105">
        <v>103</v>
      </c>
      <c r="E105">
        <v>4.875</v>
      </c>
      <c r="F105">
        <v>4.75</v>
      </c>
      <c r="G105">
        <v>5</v>
      </c>
      <c r="H105">
        <v>0.75216000000000005</v>
      </c>
      <c r="I105">
        <v>0.64498</v>
      </c>
      <c r="J105">
        <v>5.108E-2</v>
      </c>
      <c r="K105">
        <v>0.27854000000000001</v>
      </c>
      <c r="L105">
        <v>3.0499999999999999E-2</v>
      </c>
      <c r="M105">
        <v>0.23219000000000001</v>
      </c>
      <c r="N105">
        <v>2.8858600000000001</v>
      </c>
      <c r="O105">
        <v>2016</v>
      </c>
    </row>
    <row r="106" spans="2:15" x14ac:dyDescent="0.35">
      <c r="B106" t="s">
        <v>126</v>
      </c>
      <c r="C106" t="s">
        <v>28</v>
      </c>
      <c r="D106">
        <v>104</v>
      </c>
      <c r="E106">
        <v>4.8710000000000004</v>
      </c>
      <c r="F106">
        <v>4.75</v>
      </c>
      <c r="G106">
        <v>4.992</v>
      </c>
      <c r="H106">
        <v>0.69428999999999996</v>
      </c>
      <c r="I106">
        <v>0.75595999999999997</v>
      </c>
      <c r="J106">
        <v>0.58382999999999996</v>
      </c>
      <c r="K106">
        <v>0.26755000000000001</v>
      </c>
      <c r="L106">
        <v>6.9059999999999996E-2</v>
      </c>
      <c r="M106">
        <v>0.2044</v>
      </c>
      <c r="N106">
        <v>2.2955100000000002</v>
      </c>
      <c r="O106">
        <v>2016</v>
      </c>
    </row>
    <row r="107" spans="2:15" x14ac:dyDescent="0.35">
      <c r="B107" t="s">
        <v>131</v>
      </c>
      <c r="C107" t="s">
        <v>26</v>
      </c>
      <c r="D107">
        <v>105</v>
      </c>
      <c r="E107">
        <v>4.8129999999999997</v>
      </c>
      <c r="F107">
        <v>4.7030000000000003</v>
      </c>
      <c r="G107">
        <v>4.923</v>
      </c>
      <c r="H107">
        <v>1.11758</v>
      </c>
      <c r="I107">
        <v>0.38857000000000003</v>
      </c>
      <c r="J107">
        <v>0.64232</v>
      </c>
      <c r="K107">
        <v>0.22544</v>
      </c>
      <c r="L107">
        <v>5.57E-2</v>
      </c>
      <c r="M107">
        <v>0.38538</v>
      </c>
      <c r="N107">
        <v>1.99817</v>
      </c>
      <c r="O107">
        <v>2016</v>
      </c>
    </row>
    <row r="108" spans="2:15" x14ac:dyDescent="0.35">
      <c r="B108" t="s">
        <v>106</v>
      </c>
      <c r="C108" t="s">
        <v>91</v>
      </c>
      <c r="D108">
        <v>106</v>
      </c>
      <c r="E108">
        <v>4.7949999999999999</v>
      </c>
      <c r="F108">
        <v>4.6449999999999996</v>
      </c>
      <c r="G108">
        <v>4.9450000000000003</v>
      </c>
      <c r="H108">
        <v>0.61202000000000001</v>
      </c>
      <c r="I108">
        <v>0.63759999999999994</v>
      </c>
      <c r="J108">
        <v>0.23573</v>
      </c>
      <c r="K108">
        <v>0.42662</v>
      </c>
      <c r="L108">
        <v>0.11479</v>
      </c>
      <c r="M108">
        <v>0.17866000000000001</v>
      </c>
      <c r="N108">
        <v>2.5899100000000002</v>
      </c>
      <c r="O108">
        <v>2016</v>
      </c>
    </row>
    <row r="109" spans="2:15" x14ac:dyDescent="0.35">
      <c r="B109" t="s">
        <v>142</v>
      </c>
      <c r="C109" t="s">
        <v>100</v>
      </c>
      <c r="D109">
        <v>107</v>
      </c>
      <c r="E109">
        <v>4.7930000000000001</v>
      </c>
      <c r="F109">
        <v>4.6980000000000004</v>
      </c>
      <c r="G109">
        <v>4.8879999999999999</v>
      </c>
      <c r="H109">
        <v>0.44625999999999999</v>
      </c>
      <c r="I109">
        <v>0.69699</v>
      </c>
      <c r="J109">
        <v>0.50073000000000001</v>
      </c>
      <c r="K109">
        <v>0.37012</v>
      </c>
      <c r="L109">
        <v>7.0080000000000003E-2</v>
      </c>
      <c r="M109">
        <v>0.38159999999999999</v>
      </c>
      <c r="N109">
        <v>2.32694</v>
      </c>
      <c r="O109">
        <v>2016</v>
      </c>
    </row>
    <row r="110" spans="2:15" x14ac:dyDescent="0.35">
      <c r="B110" t="s">
        <v>129</v>
      </c>
      <c r="C110" t="s">
        <v>26</v>
      </c>
      <c r="D110">
        <v>108</v>
      </c>
      <c r="E110">
        <v>4.7539999999999996</v>
      </c>
      <c r="F110">
        <v>4.649</v>
      </c>
      <c r="G110">
        <v>4.859</v>
      </c>
      <c r="H110">
        <v>0.67023999999999995</v>
      </c>
      <c r="I110">
        <v>0.71628999999999998</v>
      </c>
      <c r="J110">
        <v>0.56843999999999995</v>
      </c>
      <c r="K110">
        <v>0.17743999999999999</v>
      </c>
      <c r="L110">
        <v>0.10613</v>
      </c>
      <c r="M110">
        <v>0.11154</v>
      </c>
      <c r="N110">
        <v>2.4036400000000002</v>
      </c>
      <c r="O110">
        <v>2016</v>
      </c>
    </row>
    <row r="111" spans="2:15" x14ac:dyDescent="0.35">
      <c r="B111" t="s">
        <v>116</v>
      </c>
      <c r="C111" t="s">
        <v>49</v>
      </c>
      <c r="D111">
        <v>109</v>
      </c>
      <c r="E111">
        <v>4.6550000000000002</v>
      </c>
      <c r="F111">
        <v>4.5460000000000003</v>
      </c>
      <c r="G111">
        <v>4.7640000000000002</v>
      </c>
      <c r="H111">
        <v>0.95530000000000004</v>
      </c>
      <c r="I111">
        <v>0.50163000000000002</v>
      </c>
      <c r="J111">
        <v>0.73007</v>
      </c>
      <c r="K111">
        <v>0.31866</v>
      </c>
      <c r="L111">
        <v>5.3010000000000002E-2</v>
      </c>
      <c r="M111">
        <v>0.16839999999999999</v>
      </c>
      <c r="N111">
        <v>1.9281600000000001</v>
      </c>
      <c r="O111">
        <v>2016</v>
      </c>
    </row>
    <row r="112" spans="2:15" x14ac:dyDescent="0.35">
      <c r="B112" t="s">
        <v>130</v>
      </c>
      <c r="C112" t="s">
        <v>100</v>
      </c>
      <c r="D112">
        <v>110</v>
      </c>
      <c r="E112">
        <v>4.6429999999999998</v>
      </c>
      <c r="F112">
        <v>4.5599999999999996</v>
      </c>
      <c r="G112">
        <v>4.726</v>
      </c>
      <c r="H112">
        <v>0.54176999999999997</v>
      </c>
      <c r="I112">
        <v>0.24748999999999999</v>
      </c>
      <c r="J112">
        <v>0.52988999999999997</v>
      </c>
      <c r="K112">
        <v>0.39778000000000002</v>
      </c>
      <c r="L112">
        <v>0.12583</v>
      </c>
      <c r="M112">
        <v>0.19131999999999999</v>
      </c>
      <c r="N112">
        <v>2.6090399999999998</v>
      </c>
      <c r="O112">
        <v>2016</v>
      </c>
    </row>
    <row r="113" spans="2:15" x14ac:dyDescent="0.35">
      <c r="B113" t="s">
        <v>144</v>
      </c>
      <c r="C113" t="s">
        <v>91</v>
      </c>
      <c r="D113">
        <v>111</v>
      </c>
      <c r="E113">
        <v>4.6349999999999998</v>
      </c>
      <c r="F113">
        <v>4.5049999999999999</v>
      </c>
      <c r="G113">
        <v>4.7649999999999997</v>
      </c>
      <c r="H113">
        <v>0.36485000000000001</v>
      </c>
      <c r="I113">
        <v>0.628</v>
      </c>
      <c r="J113">
        <v>0</v>
      </c>
      <c r="K113">
        <v>0.30685000000000001</v>
      </c>
      <c r="L113">
        <v>8.1960000000000005E-2</v>
      </c>
      <c r="M113">
        <v>0.23896999999999999</v>
      </c>
      <c r="N113">
        <v>3.0140199999999999</v>
      </c>
      <c r="O113">
        <v>2016</v>
      </c>
    </row>
    <row r="114" spans="2:15" x14ac:dyDescent="0.35">
      <c r="B114" t="s">
        <v>133</v>
      </c>
      <c r="C114" t="s">
        <v>26</v>
      </c>
      <c r="D114">
        <v>112</v>
      </c>
      <c r="E114">
        <v>4.5750000000000002</v>
      </c>
      <c r="F114">
        <v>4.4459999999999997</v>
      </c>
      <c r="G114">
        <v>4.7039999999999997</v>
      </c>
      <c r="H114">
        <v>1.07474</v>
      </c>
      <c r="I114">
        <v>0.59204999999999997</v>
      </c>
      <c r="J114">
        <v>0.51075999999999999</v>
      </c>
      <c r="K114">
        <v>0.24856</v>
      </c>
      <c r="L114">
        <v>0.13636000000000001</v>
      </c>
      <c r="M114">
        <v>0.19589000000000001</v>
      </c>
      <c r="N114">
        <v>1.81657</v>
      </c>
      <c r="O114">
        <v>2016</v>
      </c>
    </row>
    <row r="115" spans="2:15" x14ac:dyDescent="0.35">
      <c r="B115" t="s">
        <v>211</v>
      </c>
      <c r="C115" t="s">
        <v>91</v>
      </c>
      <c r="D115">
        <v>113</v>
      </c>
      <c r="E115">
        <v>4.5739999999999998</v>
      </c>
      <c r="F115">
        <v>4.3739999999999997</v>
      </c>
      <c r="G115">
        <v>4.774</v>
      </c>
      <c r="H115">
        <v>0.93286999999999998</v>
      </c>
      <c r="I115">
        <v>0.70362000000000002</v>
      </c>
      <c r="J115">
        <v>0.34744999999999998</v>
      </c>
      <c r="K115">
        <v>0.48614000000000002</v>
      </c>
      <c r="L115">
        <v>0.10398</v>
      </c>
      <c r="M115">
        <v>7.7950000000000005E-2</v>
      </c>
      <c r="N115">
        <v>1.92198</v>
      </c>
      <c r="O115">
        <v>2016</v>
      </c>
    </row>
    <row r="116" spans="2:15" x14ac:dyDescent="0.35">
      <c r="B116" t="s">
        <v>154</v>
      </c>
      <c r="C116" t="s">
        <v>91</v>
      </c>
      <c r="D116">
        <v>114</v>
      </c>
      <c r="E116">
        <v>4.5129999999999999</v>
      </c>
      <c r="F116">
        <v>4.4169999999999998</v>
      </c>
      <c r="G116">
        <v>4.609</v>
      </c>
      <c r="H116">
        <v>0.52497000000000005</v>
      </c>
      <c r="I116">
        <v>0.62541999999999998</v>
      </c>
      <c r="J116">
        <v>0.12698000000000001</v>
      </c>
      <c r="K116">
        <v>0.42736000000000002</v>
      </c>
      <c r="L116">
        <v>6.1260000000000002E-2</v>
      </c>
      <c r="M116">
        <v>0.2268</v>
      </c>
      <c r="N116">
        <v>2.5198</v>
      </c>
      <c r="O116">
        <v>2016</v>
      </c>
    </row>
    <row r="117" spans="2:15" x14ac:dyDescent="0.35">
      <c r="B117" t="s">
        <v>143</v>
      </c>
      <c r="C117" t="s">
        <v>91</v>
      </c>
      <c r="D117">
        <v>115</v>
      </c>
      <c r="E117">
        <v>4.508</v>
      </c>
      <c r="F117">
        <v>4.4249999999999998</v>
      </c>
      <c r="G117">
        <v>4.5910000000000002</v>
      </c>
      <c r="H117">
        <v>0.29282999999999998</v>
      </c>
      <c r="I117">
        <v>0.37931999999999999</v>
      </c>
      <c r="J117">
        <v>0.34577999999999998</v>
      </c>
      <c r="K117">
        <v>0.36703000000000002</v>
      </c>
      <c r="L117">
        <v>0.17169999999999999</v>
      </c>
      <c r="M117">
        <v>0.29521999999999998</v>
      </c>
      <c r="N117">
        <v>2.6561400000000002</v>
      </c>
      <c r="O117">
        <v>2016</v>
      </c>
    </row>
    <row r="118" spans="2:15" x14ac:dyDescent="0.35">
      <c r="B118" t="s">
        <v>134</v>
      </c>
      <c r="C118" t="s">
        <v>91</v>
      </c>
      <c r="D118">
        <v>116</v>
      </c>
      <c r="E118">
        <v>4.4589999999999996</v>
      </c>
      <c r="F118">
        <v>4.3710000000000004</v>
      </c>
      <c r="G118">
        <v>4.5469999999999997</v>
      </c>
      <c r="H118">
        <v>1.02416</v>
      </c>
      <c r="I118">
        <v>0.96052999999999999</v>
      </c>
      <c r="J118">
        <v>0.18611</v>
      </c>
      <c r="K118">
        <v>0.42482999999999999</v>
      </c>
      <c r="L118">
        <v>8.4150000000000003E-2</v>
      </c>
      <c r="M118">
        <v>0.13655999999999999</v>
      </c>
      <c r="N118">
        <v>1.6422699999999999</v>
      </c>
      <c r="O118">
        <v>2016</v>
      </c>
    </row>
    <row r="119" spans="2:15" x14ac:dyDescent="0.35">
      <c r="B119" t="s">
        <v>153</v>
      </c>
      <c r="C119" t="s">
        <v>100</v>
      </c>
      <c r="D119">
        <v>117</v>
      </c>
      <c r="E119">
        <v>4.415</v>
      </c>
      <c r="F119">
        <v>4.3220000000000001</v>
      </c>
      <c r="G119">
        <v>4.508</v>
      </c>
      <c r="H119">
        <v>0.97318000000000005</v>
      </c>
      <c r="I119">
        <v>0.84782999999999997</v>
      </c>
      <c r="J119">
        <v>0.62007000000000001</v>
      </c>
      <c r="K119">
        <v>0.50817000000000001</v>
      </c>
      <c r="L119">
        <v>7.9640000000000002E-2</v>
      </c>
      <c r="M119">
        <v>0.46977999999999998</v>
      </c>
      <c r="N119">
        <v>0.91681000000000001</v>
      </c>
      <c r="O119">
        <v>2016</v>
      </c>
    </row>
    <row r="120" spans="2:15" x14ac:dyDescent="0.35">
      <c r="B120" t="s">
        <v>138</v>
      </c>
      <c r="C120" t="s">
        <v>100</v>
      </c>
      <c r="D120">
        <v>118</v>
      </c>
      <c r="E120">
        <v>4.4039999999999999</v>
      </c>
      <c r="F120">
        <v>4.351</v>
      </c>
      <c r="G120">
        <v>4.4569999999999999</v>
      </c>
      <c r="H120">
        <v>0.74036000000000002</v>
      </c>
      <c r="I120">
        <v>0.29247000000000001</v>
      </c>
      <c r="J120">
        <v>0.45090999999999998</v>
      </c>
      <c r="K120">
        <v>0.40284999999999999</v>
      </c>
      <c r="L120">
        <v>8.7220000000000006E-2</v>
      </c>
      <c r="M120">
        <v>0.25028</v>
      </c>
      <c r="N120">
        <v>2.18032</v>
      </c>
      <c r="O120">
        <v>2016</v>
      </c>
    </row>
    <row r="121" spans="2:15" x14ac:dyDescent="0.35">
      <c r="B121" t="s">
        <v>150</v>
      </c>
      <c r="C121" t="s">
        <v>41</v>
      </c>
      <c r="D121">
        <v>119</v>
      </c>
      <c r="E121">
        <v>4.3949999999999996</v>
      </c>
      <c r="F121">
        <v>4.327</v>
      </c>
      <c r="G121">
        <v>4.4630000000000001</v>
      </c>
      <c r="H121">
        <v>0.34111999999999998</v>
      </c>
      <c r="I121">
        <v>0.69981000000000004</v>
      </c>
      <c r="J121">
        <v>0.39879999999999999</v>
      </c>
      <c r="K121">
        <v>0.42692000000000002</v>
      </c>
      <c r="L121">
        <v>0.20243</v>
      </c>
      <c r="M121">
        <v>0.81971000000000005</v>
      </c>
      <c r="N121">
        <v>1.5065500000000001</v>
      </c>
      <c r="O121">
        <v>2016</v>
      </c>
    </row>
    <row r="122" spans="2:15" x14ac:dyDescent="0.35">
      <c r="B122" t="s">
        <v>156</v>
      </c>
      <c r="C122" t="s">
        <v>26</v>
      </c>
      <c r="D122">
        <v>120</v>
      </c>
      <c r="E122">
        <v>4.3620000000000001</v>
      </c>
      <c r="F122">
        <v>4.2590000000000003</v>
      </c>
      <c r="G122">
        <v>4.4649999999999999</v>
      </c>
      <c r="H122">
        <v>0.95394999999999996</v>
      </c>
      <c r="I122">
        <v>0.49813000000000002</v>
      </c>
      <c r="J122">
        <v>0.52115999999999996</v>
      </c>
      <c r="K122">
        <v>0.18847</v>
      </c>
      <c r="L122">
        <v>0.10392999999999999</v>
      </c>
      <c r="M122">
        <v>0.12706000000000001</v>
      </c>
      <c r="N122">
        <v>1.96895</v>
      </c>
      <c r="O122">
        <v>2016</v>
      </c>
    </row>
    <row r="123" spans="2:15" x14ac:dyDescent="0.35">
      <c r="B123" t="s">
        <v>148</v>
      </c>
      <c r="C123" t="s">
        <v>49</v>
      </c>
      <c r="D123">
        <v>121</v>
      </c>
      <c r="E123">
        <v>4.3600000000000003</v>
      </c>
      <c r="F123">
        <v>4.266</v>
      </c>
      <c r="G123">
        <v>4.4539999999999997</v>
      </c>
      <c r="H123">
        <v>0.86085999999999996</v>
      </c>
      <c r="I123">
        <v>0.62477000000000005</v>
      </c>
      <c r="J123">
        <v>0.64083000000000001</v>
      </c>
      <c r="K123">
        <v>0.14036999999999999</v>
      </c>
      <c r="L123">
        <v>3.6159999999999998E-2</v>
      </c>
      <c r="M123">
        <v>7.7929999999999999E-2</v>
      </c>
      <c r="N123">
        <v>1.97864</v>
      </c>
      <c r="O123">
        <v>2016</v>
      </c>
    </row>
    <row r="124" spans="2:15" x14ac:dyDescent="0.35">
      <c r="B124" t="s">
        <v>146</v>
      </c>
      <c r="C124" t="s">
        <v>91</v>
      </c>
      <c r="D124">
        <v>122</v>
      </c>
      <c r="E124">
        <v>4.3559999999999999</v>
      </c>
      <c r="F124">
        <v>4.2590000000000003</v>
      </c>
      <c r="G124">
        <v>4.4530000000000003</v>
      </c>
      <c r="H124">
        <v>0.52266999999999997</v>
      </c>
      <c r="I124">
        <v>0.76239999999999997</v>
      </c>
      <c r="J124">
        <v>0.30147000000000002</v>
      </c>
      <c r="K124">
        <v>0.40576000000000001</v>
      </c>
      <c r="L124">
        <v>6.6860000000000003E-2</v>
      </c>
      <c r="M124">
        <v>0.41327999999999998</v>
      </c>
      <c r="N124">
        <v>1.8832599999999999</v>
      </c>
      <c r="O124">
        <v>2016</v>
      </c>
    </row>
    <row r="125" spans="2:15" x14ac:dyDescent="0.35">
      <c r="B125" t="s">
        <v>132</v>
      </c>
      <c r="C125" t="s">
        <v>49</v>
      </c>
      <c r="D125">
        <v>123</v>
      </c>
      <c r="E125">
        <v>4.3239999999999998</v>
      </c>
      <c r="F125">
        <v>4.2359999999999998</v>
      </c>
      <c r="G125">
        <v>4.4119999999999999</v>
      </c>
      <c r="H125">
        <v>0.87287000000000003</v>
      </c>
      <c r="I125">
        <v>1.01413</v>
      </c>
      <c r="J125">
        <v>0.58628000000000002</v>
      </c>
      <c r="K125">
        <v>0.12859000000000001</v>
      </c>
      <c r="L125">
        <v>1.8290000000000001E-2</v>
      </c>
      <c r="M125">
        <v>0.20363000000000001</v>
      </c>
      <c r="N125">
        <v>1.5006600000000001</v>
      </c>
      <c r="O125">
        <v>2016</v>
      </c>
    </row>
    <row r="126" spans="2:15" x14ac:dyDescent="0.35">
      <c r="B126" t="s">
        <v>135</v>
      </c>
      <c r="C126" t="s">
        <v>91</v>
      </c>
      <c r="D126">
        <v>124</v>
      </c>
      <c r="E126">
        <v>4.2759999999999998</v>
      </c>
      <c r="F126">
        <v>4.1849999999999996</v>
      </c>
      <c r="G126">
        <v>4.367</v>
      </c>
      <c r="H126">
        <v>0.63107000000000002</v>
      </c>
      <c r="I126">
        <v>0.49353000000000002</v>
      </c>
      <c r="J126">
        <v>0.29681000000000002</v>
      </c>
      <c r="K126">
        <v>0.40972999999999998</v>
      </c>
      <c r="L126">
        <v>3.2599999999999997E-2</v>
      </c>
      <c r="M126">
        <v>0.21203</v>
      </c>
      <c r="N126">
        <v>2.2002000000000002</v>
      </c>
      <c r="O126">
        <v>2016</v>
      </c>
    </row>
    <row r="127" spans="2:15" x14ac:dyDescent="0.35">
      <c r="B127" t="s">
        <v>141</v>
      </c>
      <c r="C127" t="s">
        <v>91</v>
      </c>
      <c r="D127">
        <v>125</v>
      </c>
      <c r="E127">
        <v>4.2720000000000002</v>
      </c>
      <c r="F127">
        <v>4.1909999999999998</v>
      </c>
      <c r="G127">
        <v>4.3529999999999998</v>
      </c>
      <c r="H127">
        <v>5.6610000000000001E-2</v>
      </c>
      <c r="I127">
        <v>0.80676000000000003</v>
      </c>
      <c r="J127">
        <v>0.188</v>
      </c>
      <c r="K127">
        <v>0.15601999999999999</v>
      </c>
      <c r="L127">
        <v>6.0749999999999998E-2</v>
      </c>
      <c r="M127">
        <v>0.25457999999999997</v>
      </c>
      <c r="N127">
        <v>2.7492399999999999</v>
      </c>
      <c r="O127">
        <v>2016</v>
      </c>
    </row>
    <row r="128" spans="2:15" x14ac:dyDescent="0.35">
      <c r="B128" t="s">
        <v>151</v>
      </c>
      <c r="C128" t="s">
        <v>49</v>
      </c>
      <c r="D128">
        <v>126</v>
      </c>
      <c r="E128">
        <v>4.2519999999999998</v>
      </c>
      <c r="F128">
        <v>4.1639999999999997</v>
      </c>
      <c r="G128">
        <v>4.34</v>
      </c>
      <c r="H128">
        <v>0.83792</v>
      </c>
      <c r="I128">
        <v>0.19248999999999999</v>
      </c>
      <c r="J128">
        <v>0.64034999999999997</v>
      </c>
      <c r="K128">
        <v>0.32461000000000001</v>
      </c>
      <c r="L128">
        <v>0.31879999999999997</v>
      </c>
      <c r="M128">
        <v>6.7860000000000004E-2</v>
      </c>
      <c r="N128">
        <v>1.8703099999999999</v>
      </c>
      <c r="O128">
        <v>2016</v>
      </c>
    </row>
    <row r="129" spans="2:15" x14ac:dyDescent="0.35">
      <c r="B129" t="s">
        <v>160</v>
      </c>
      <c r="C129" t="s">
        <v>91</v>
      </c>
      <c r="D129">
        <v>127</v>
      </c>
      <c r="E129">
        <v>4.2359999999999998</v>
      </c>
      <c r="F129">
        <v>4.1070000000000002</v>
      </c>
      <c r="G129">
        <v>4.3650000000000002</v>
      </c>
      <c r="H129">
        <v>0.77109000000000005</v>
      </c>
      <c r="I129">
        <v>0.47799000000000003</v>
      </c>
      <c r="J129">
        <v>0.28211999999999998</v>
      </c>
      <c r="K129">
        <v>0.37938</v>
      </c>
      <c r="L129">
        <v>9.7530000000000006E-2</v>
      </c>
      <c r="M129">
        <v>0.12077</v>
      </c>
      <c r="N129">
        <v>2.1068099999999998</v>
      </c>
      <c r="O129">
        <v>2016</v>
      </c>
    </row>
    <row r="130" spans="2:15" x14ac:dyDescent="0.35">
      <c r="B130" t="s">
        <v>163</v>
      </c>
      <c r="C130" t="s">
        <v>91</v>
      </c>
      <c r="D130">
        <v>128</v>
      </c>
      <c r="E130">
        <v>4.2190000000000003</v>
      </c>
      <c r="F130">
        <v>4.1509999999999998</v>
      </c>
      <c r="G130">
        <v>4.2869999999999999</v>
      </c>
      <c r="H130">
        <v>0.44313999999999998</v>
      </c>
      <c r="I130">
        <v>0.77415999999999996</v>
      </c>
      <c r="J130">
        <v>0.40456999999999999</v>
      </c>
      <c r="K130">
        <v>0.31056</v>
      </c>
      <c r="L130">
        <v>0.11681</v>
      </c>
      <c r="M130">
        <v>0.19103000000000001</v>
      </c>
      <c r="N130">
        <v>1.97861</v>
      </c>
      <c r="O130">
        <v>2016</v>
      </c>
    </row>
    <row r="131" spans="2:15" x14ac:dyDescent="0.35">
      <c r="B131" t="s">
        <v>155</v>
      </c>
      <c r="C131" t="s">
        <v>49</v>
      </c>
      <c r="D131">
        <v>129</v>
      </c>
      <c r="E131">
        <v>4.2169999999999996</v>
      </c>
      <c r="F131">
        <v>4.1040000000000001</v>
      </c>
      <c r="G131">
        <v>4.33</v>
      </c>
      <c r="H131">
        <v>1.1130599999999999</v>
      </c>
      <c r="I131">
        <v>0.92542000000000002</v>
      </c>
      <c r="J131">
        <v>0.67806</v>
      </c>
      <c r="K131">
        <v>0.21218999999999999</v>
      </c>
      <c r="L131">
        <v>6.1500000000000001E-3</v>
      </c>
      <c r="M131">
        <v>0.12792999999999999</v>
      </c>
      <c r="N131">
        <v>1.15377</v>
      </c>
      <c r="O131">
        <v>2016</v>
      </c>
    </row>
    <row r="132" spans="2:15" x14ac:dyDescent="0.35">
      <c r="B132" t="s">
        <v>145</v>
      </c>
      <c r="C132" t="s">
        <v>91</v>
      </c>
      <c r="D132">
        <v>130</v>
      </c>
      <c r="E132">
        <v>4.2009999999999996</v>
      </c>
      <c r="F132">
        <v>4.1269999999999998</v>
      </c>
      <c r="G132">
        <v>4.2750000000000004</v>
      </c>
      <c r="H132">
        <v>0.61390999999999996</v>
      </c>
      <c r="I132">
        <v>0.84141999999999995</v>
      </c>
      <c r="J132">
        <v>0.28638999999999998</v>
      </c>
      <c r="K132">
        <v>0.1268</v>
      </c>
      <c r="L132">
        <v>0.17954999999999999</v>
      </c>
      <c r="M132">
        <v>0.22686000000000001</v>
      </c>
      <c r="N132">
        <v>1.9262999999999999</v>
      </c>
      <c r="O132">
        <v>2016</v>
      </c>
    </row>
    <row r="133" spans="2:15" x14ac:dyDescent="0.35">
      <c r="B133" t="s">
        <v>136</v>
      </c>
      <c r="C133" t="s">
        <v>91</v>
      </c>
      <c r="D133">
        <v>131</v>
      </c>
      <c r="E133">
        <v>4.1929999999999996</v>
      </c>
      <c r="F133">
        <v>4.101</v>
      </c>
      <c r="G133">
        <v>4.2850000000000001</v>
      </c>
      <c r="H133">
        <v>0.35041</v>
      </c>
      <c r="I133">
        <v>0.71477999999999997</v>
      </c>
      <c r="J133">
        <v>0.1595</v>
      </c>
      <c r="K133">
        <v>0.25429000000000002</v>
      </c>
      <c r="L133">
        <v>8.5819999999999994E-2</v>
      </c>
      <c r="M133">
        <v>0.18503</v>
      </c>
      <c r="N133">
        <v>2.4426999999999999</v>
      </c>
      <c r="O133">
        <v>2016</v>
      </c>
    </row>
    <row r="134" spans="2:15" x14ac:dyDescent="0.35">
      <c r="B134" t="s">
        <v>152</v>
      </c>
      <c r="C134" t="s">
        <v>91</v>
      </c>
      <c r="D134">
        <v>132</v>
      </c>
      <c r="E134">
        <v>4.1559999999999997</v>
      </c>
      <c r="F134">
        <v>4.0410000000000004</v>
      </c>
      <c r="G134">
        <v>4.2709999999999999</v>
      </c>
      <c r="H134">
        <v>8.7090000000000001E-2</v>
      </c>
      <c r="I134">
        <v>0.14699999999999999</v>
      </c>
      <c r="J134">
        <v>0.29364000000000001</v>
      </c>
      <c r="K134">
        <v>0.4143</v>
      </c>
      <c r="L134">
        <v>7.5639999999999999E-2</v>
      </c>
      <c r="M134">
        <v>0.30968000000000001</v>
      </c>
      <c r="N134">
        <v>2.8285900000000002</v>
      </c>
      <c r="O134">
        <v>2016</v>
      </c>
    </row>
    <row r="135" spans="2:15" x14ac:dyDescent="0.35">
      <c r="B135" t="s">
        <v>139</v>
      </c>
      <c r="C135" t="s">
        <v>91</v>
      </c>
      <c r="D135">
        <v>133</v>
      </c>
      <c r="E135">
        <v>4.1390000000000002</v>
      </c>
      <c r="F135">
        <v>3.9279999999999999</v>
      </c>
      <c r="G135">
        <v>4.3499999999999996</v>
      </c>
      <c r="H135">
        <v>0.63068999999999997</v>
      </c>
      <c r="I135">
        <v>0.81928000000000001</v>
      </c>
      <c r="J135">
        <v>0.29759000000000002</v>
      </c>
      <c r="K135">
        <v>0</v>
      </c>
      <c r="L135">
        <v>0.10038999999999999</v>
      </c>
      <c r="M135">
        <v>0.18076999999999999</v>
      </c>
      <c r="N135">
        <v>2.10995</v>
      </c>
      <c r="O135">
        <v>2016</v>
      </c>
    </row>
    <row r="136" spans="2:15" x14ac:dyDescent="0.35">
      <c r="B136" t="s">
        <v>164</v>
      </c>
      <c r="C136" t="s">
        <v>91</v>
      </c>
      <c r="D136">
        <v>134</v>
      </c>
      <c r="E136">
        <v>4.1210000000000004</v>
      </c>
      <c r="F136">
        <v>4.03</v>
      </c>
      <c r="G136">
        <v>4.2119999999999997</v>
      </c>
      <c r="H136">
        <v>1.1585099999999999</v>
      </c>
      <c r="I136">
        <v>0.72367999999999999</v>
      </c>
      <c r="J136">
        <v>0.34939999999999999</v>
      </c>
      <c r="K136">
        <v>0.28098000000000001</v>
      </c>
      <c r="L136">
        <v>9.3140000000000001E-2</v>
      </c>
      <c r="M136">
        <v>6.2440000000000002E-2</v>
      </c>
      <c r="N136">
        <v>1.4533199999999999</v>
      </c>
      <c r="O136">
        <v>2016</v>
      </c>
    </row>
    <row r="137" spans="2:15" x14ac:dyDescent="0.35">
      <c r="B137" t="s">
        <v>159</v>
      </c>
      <c r="C137" t="s">
        <v>91</v>
      </c>
      <c r="D137">
        <v>135</v>
      </c>
      <c r="E137">
        <v>4.0730000000000004</v>
      </c>
      <c r="F137">
        <v>3.988</v>
      </c>
      <c r="G137">
        <v>4.1580000000000004</v>
      </c>
      <c r="H137">
        <v>0.31291999999999998</v>
      </c>
      <c r="I137">
        <v>0.86333000000000004</v>
      </c>
      <c r="J137">
        <v>0.16347</v>
      </c>
      <c r="K137">
        <v>0.27544000000000002</v>
      </c>
      <c r="L137">
        <v>0.13647000000000001</v>
      </c>
      <c r="M137">
        <v>0.21063999999999999</v>
      </c>
      <c r="N137">
        <v>2.1108699999999998</v>
      </c>
      <c r="O137">
        <v>2016</v>
      </c>
    </row>
    <row r="138" spans="2:15" x14ac:dyDescent="0.35">
      <c r="B138" t="s">
        <v>140</v>
      </c>
      <c r="C138" t="s">
        <v>28</v>
      </c>
      <c r="D138">
        <v>136</v>
      </c>
      <c r="E138">
        <v>4.0279999999999996</v>
      </c>
      <c r="F138">
        <v>3.8929999999999998</v>
      </c>
      <c r="G138">
        <v>4.1630000000000003</v>
      </c>
      <c r="H138">
        <v>0.34097</v>
      </c>
      <c r="I138">
        <v>0.29560999999999998</v>
      </c>
      <c r="J138">
        <v>0.27494000000000002</v>
      </c>
      <c r="K138">
        <v>0.12071999999999999</v>
      </c>
      <c r="L138">
        <v>0.14476</v>
      </c>
      <c r="M138">
        <v>0.47958000000000001</v>
      </c>
      <c r="N138">
        <v>2.3711600000000002</v>
      </c>
      <c r="O138">
        <v>2016</v>
      </c>
    </row>
    <row r="139" spans="2:15" x14ac:dyDescent="0.35">
      <c r="B139" t="s">
        <v>149</v>
      </c>
      <c r="C139" t="s">
        <v>91</v>
      </c>
      <c r="D139">
        <v>137</v>
      </c>
      <c r="E139">
        <v>3.9740000000000002</v>
      </c>
      <c r="F139">
        <v>3.875</v>
      </c>
      <c r="G139">
        <v>4.0730000000000004</v>
      </c>
      <c r="H139">
        <v>1.09426</v>
      </c>
      <c r="I139">
        <v>0.89185999999999999</v>
      </c>
      <c r="J139">
        <v>0.34752</v>
      </c>
      <c r="K139">
        <v>0.44089</v>
      </c>
      <c r="L139">
        <v>0.10768999999999999</v>
      </c>
      <c r="M139">
        <v>0.12425</v>
      </c>
      <c r="N139">
        <v>0.96740999999999999</v>
      </c>
      <c r="O139">
        <v>2016</v>
      </c>
    </row>
    <row r="140" spans="2:15" x14ac:dyDescent="0.35">
      <c r="B140" t="s">
        <v>161</v>
      </c>
      <c r="C140" t="s">
        <v>91</v>
      </c>
      <c r="D140">
        <v>138</v>
      </c>
      <c r="E140">
        <v>3.956</v>
      </c>
      <c r="F140">
        <v>3.86</v>
      </c>
      <c r="G140">
        <v>4.0519999999999996</v>
      </c>
      <c r="H140">
        <v>0.27509</v>
      </c>
      <c r="I140">
        <v>0.60323000000000004</v>
      </c>
      <c r="J140">
        <v>0.29981000000000002</v>
      </c>
      <c r="K140">
        <v>0.15412000000000001</v>
      </c>
      <c r="L140">
        <v>0.18437000000000001</v>
      </c>
      <c r="M140">
        <v>0.1827</v>
      </c>
      <c r="N140">
        <v>2.2563200000000001</v>
      </c>
      <c r="O140">
        <v>2016</v>
      </c>
    </row>
    <row r="141" spans="2:15" x14ac:dyDescent="0.35">
      <c r="B141" t="s">
        <v>172</v>
      </c>
      <c r="C141" t="s">
        <v>91</v>
      </c>
      <c r="D141">
        <v>139</v>
      </c>
      <c r="E141">
        <v>3.9159999999999999</v>
      </c>
      <c r="F141">
        <v>3.8260000000000001</v>
      </c>
      <c r="G141">
        <v>4.0060000000000002</v>
      </c>
      <c r="H141">
        <v>0.55506999999999995</v>
      </c>
      <c r="I141">
        <v>0.57576000000000005</v>
      </c>
      <c r="J141">
        <v>4.4760000000000001E-2</v>
      </c>
      <c r="K141">
        <v>0.40662999999999999</v>
      </c>
      <c r="L141">
        <v>0.15529999999999999</v>
      </c>
      <c r="M141">
        <v>0.20338000000000001</v>
      </c>
      <c r="N141">
        <v>1.97478</v>
      </c>
      <c r="O141">
        <v>2016</v>
      </c>
    </row>
    <row r="142" spans="2:15" x14ac:dyDescent="0.35">
      <c r="B142" t="s">
        <v>166</v>
      </c>
      <c r="C142" t="s">
        <v>41</v>
      </c>
      <c r="D142">
        <v>140</v>
      </c>
      <c r="E142">
        <v>3.907</v>
      </c>
      <c r="F142">
        <v>3.798</v>
      </c>
      <c r="G142">
        <v>4.016</v>
      </c>
      <c r="H142">
        <v>0.55603999999999998</v>
      </c>
      <c r="I142">
        <v>0.53749999999999998</v>
      </c>
      <c r="J142">
        <v>0.42493999999999998</v>
      </c>
      <c r="K142">
        <v>0.58852000000000004</v>
      </c>
      <c r="L142">
        <v>8.0920000000000006E-2</v>
      </c>
      <c r="M142">
        <v>0.40339000000000003</v>
      </c>
      <c r="N142">
        <v>1.3157300000000001</v>
      </c>
      <c r="O142">
        <v>2016</v>
      </c>
    </row>
    <row r="143" spans="2:15" x14ac:dyDescent="0.35">
      <c r="B143" t="s">
        <v>158</v>
      </c>
      <c r="C143" t="s">
        <v>91</v>
      </c>
      <c r="D143">
        <v>141</v>
      </c>
      <c r="E143">
        <v>3.8660000000000001</v>
      </c>
      <c r="F143">
        <v>3.7530000000000001</v>
      </c>
      <c r="G143">
        <v>3.9790000000000001</v>
      </c>
      <c r="H143">
        <v>0.84731000000000001</v>
      </c>
      <c r="I143">
        <v>0.66366000000000003</v>
      </c>
      <c r="J143">
        <v>4.9910000000000003E-2</v>
      </c>
      <c r="K143">
        <v>5.8900000000000003E-3</v>
      </c>
      <c r="L143">
        <v>8.4339999999999998E-2</v>
      </c>
      <c r="M143">
        <v>0.12071</v>
      </c>
      <c r="N143">
        <v>2.0945900000000002</v>
      </c>
      <c r="O143">
        <v>2016</v>
      </c>
    </row>
    <row r="144" spans="2:15" x14ac:dyDescent="0.35">
      <c r="B144" t="s">
        <v>165</v>
      </c>
      <c r="C144" t="s">
        <v>91</v>
      </c>
      <c r="D144">
        <v>142</v>
      </c>
      <c r="E144">
        <v>3.8559999999999999</v>
      </c>
      <c r="F144">
        <v>3.7810000000000001</v>
      </c>
      <c r="G144">
        <v>3.931</v>
      </c>
      <c r="H144">
        <v>0.13270000000000001</v>
      </c>
      <c r="I144">
        <v>0.60529999999999995</v>
      </c>
      <c r="J144">
        <v>0.26162000000000002</v>
      </c>
      <c r="K144">
        <v>0.38041000000000003</v>
      </c>
      <c r="L144">
        <v>0.17176</v>
      </c>
      <c r="M144">
        <v>0.2097</v>
      </c>
      <c r="N144">
        <v>2.0946899999999999</v>
      </c>
      <c r="O144">
        <v>2016</v>
      </c>
    </row>
    <row r="145" spans="2:15" x14ac:dyDescent="0.35">
      <c r="B145" t="s">
        <v>212</v>
      </c>
      <c r="C145" t="s">
        <v>91</v>
      </c>
      <c r="D145">
        <v>143</v>
      </c>
      <c r="E145">
        <v>3.8319999999999999</v>
      </c>
      <c r="F145">
        <v>3.5960000000000001</v>
      </c>
      <c r="G145">
        <v>4.0679999999999996</v>
      </c>
      <c r="H145">
        <v>0.39394000000000001</v>
      </c>
      <c r="I145">
        <v>0.18518999999999999</v>
      </c>
      <c r="J145">
        <v>0.15781000000000001</v>
      </c>
      <c r="K145">
        <v>0.19661999999999999</v>
      </c>
      <c r="L145">
        <v>0.13014999999999999</v>
      </c>
      <c r="M145">
        <v>0.25899</v>
      </c>
      <c r="N145">
        <v>2.50929</v>
      </c>
      <c r="O145">
        <v>2016</v>
      </c>
    </row>
    <row r="146" spans="2:15" x14ac:dyDescent="0.35">
      <c r="B146" t="s">
        <v>170</v>
      </c>
      <c r="C146" t="s">
        <v>91</v>
      </c>
      <c r="D146">
        <v>144</v>
      </c>
      <c r="E146">
        <v>3.7629999999999999</v>
      </c>
      <c r="F146">
        <v>3.6720000000000002</v>
      </c>
      <c r="G146">
        <v>3.8540000000000001</v>
      </c>
      <c r="H146">
        <v>0.42214000000000002</v>
      </c>
      <c r="I146">
        <v>0.63178000000000001</v>
      </c>
      <c r="J146">
        <v>3.8240000000000003E-2</v>
      </c>
      <c r="K146">
        <v>0.12806999999999999</v>
      </c>
      <c r="L146">
        <v>4.9520000000000002E-2</v>
      </c>
      <c r="M146">
        <v>0.18667</v>
      </c>
      <c r="N146">
        <v>2.3063699999999998</v>
      </c>
      <c r="O146">
        <v>2016</v>
      </c>
    </row>
    <row r="147" spans="2:15" x14ac:dyDescent="0.35">
      <c r="B147" t="s">
        <v>173</v>
      </c>
      <c r="C147" t="s">
        <v>91</v>
      </c>
      <c r="D147">
        <v>145</v>
      </c>
      <c r="E147">
        <v>3.7389999999999999</v>
      </c>
      <c r="F147">
        <v>3.6469999999999998</v>
      </c>
      <c r="G147">
        <v>3.831</v>
      </c>
      <c r="H147">
        <v>0.31995000000000001</v>
      </c>
      <c r="I147">
        <v>0.63053999999999999</v>
      </c>
      <c r="J147">
        <v>0.21296999999999999</v>
      </c>
      <c r="K147">
        <v>0.3337</v>
      </c>
      <c r="L147">
        <v>0.12533</v>
      </c>
      <c r="M147">
        <v>0.24353</v>
      </c>
      <c r="N147">
        <v>1.8731899999999999</v>
      </c>
      <c r="O147">
        <v>2016</v>
      </c>
    </row>
    <row r="148" spans="2:15" x14ac:dyDescent="0.35">
      <c r="B148" t="s">
        <v>162</v>
      </c>
      <c r="C148" t="s">
        <v>91</v>
      </c>
      <c r="D148">
        <v>145</v>
      </c>
      <c r="E148">
        <v>3.7389999999999999</v>
      </c>
      <c r="F148">
        <v>3.629</v>
      </c>
      <c r="G148">
        <v>3.8490000000000002</v>
      </c>
      <c r="H148">
        <v>0.34719</v>
      </c>
      <c r="I148">
        <v>0.90981000000000001</v>
      </c>
      <c r="J148">
        <v>0.19625000000000001</v>
      </c>
      <c r="K148">
        <v>0.43652999999999997</v>
      </c>
      <c r="L148">
        <v>6.4420000000000005E-2</v>
      </c>
      <c r="M148">
        <v>0.27101999999999998</v>
      </c>
      <c r="N148">
        <v>1.51416</v>
      </c>
      <c r="O148">
        <v>2016</v>
      </c>
    </row>
    <row r="149" spans="2:15" x14ac:dyDescent="0.35">
      <c r="B149" t="s">
        <v>157</v>
      </c>
      <c r="C149" t="s">
        <v>26</v>
      </c>
      <c r="D149">
        <v>147</v>
      </c>
      <c r="E149">
        <v>3.7240000000000002</v>
      </c>
      <c r="F149">
        <v>3.621</v>
      </c>
      <c r="G149">
        <v>3.827</v>
      </c>
      <c r="H149">
        <v>0.57938999999999996</v>
      </c>
      <c r="I149">
        <v>0.47493000000000002</v>
      </c>
      <c r="J149">
        <v>0.31047999999999998</v>
      </c>
      <c r="K149">
        <v>0.22869999999999999</v>
      </c>
      <c r="L149">
        <v>5.892E-2</v>
      </c>
      <c r="M149">
        <v>9.8210000000000006E-2</v>
      </c>
      <c r="N149">
        <v>1.97295</v>
      </c>
      <c r="O149">
        <v>2016</v>
      </c>
    </row>
    <row r="150" spans="2:15" x14ac:dyDescent="0.35">
      <c r="B150" t="s">
        <v>168</v>
      </c>
      <c r="C150" t="s">
        <v>91</v>
      </c>
      <c r="D150">
        <v>148</v>
      </c>
      <c r="E150">
        <v>3.6949999999999998</v>
      </c>
      <c r="F150">
        <v>3.621</v>
      </c>
      <c r="G150">
        <v>3.7690000000000001</v>
      </c>
      <c r="H150">
        <v>0.27954000000000001</v>
      </c>
      <c r="I150">
        <v>0.46115</v>
      </c>
      <c r="J150">
        <v>0.37108999999999998</v>
      </c>
      <c r="K150">
        <v>0.13683999999999999</v>
      </c>
      <c r="L150">
        <v>7.5060000000000002E-2</v>
      </c>
      <c r="M150">
        <v>0.22040000000000001</v>
      </c>
      <c r="N150">
        <v>2.1507499999999999</v>
      </c>
      <c r="O150">
        <v>2016</v>
      </c>
    </row>
    <row r="151" spans="2:15" x14ac:dyDescent="0.35">
      <c r="B151" t="s">
        <v>167</v>
      </c>
      <c r="C151" t="s">
        <v>91</v>
      </c>
      <c r="D151">
        <v>149</v>
      </c>
      <c r="E151">
        <v>3.6659999999999999</v>
      </c>
      <c r="F151">
        <v>3.5609999999999999</v>
      </c>
      <c r="G151">
        <v>3.7709999999999999</v>
      </c>
      <c r="H151">
        <v>0.47155000000000002</v>
      </c>
      <c r="I151">
        <v>0.77622999999999998</v>
      </c>
      <c r="J151">
        <v>0.35699999999999998</v>
      </c>
      <c r="K151">
        <v>0.31759999999999999</v>
      </c>
      <c r="L151">
        <v>5.0990000000000001E-2</v>
      </c>
      <c r="M151">
        <v>0.31472</v>
      </c>
      <c r="N151">
        <v>1.3776900000000001</v>
      </c>
      <c r="O151">
        <v>2016</v>
      </c>
    </row>
    <row r="152" spans="2:15" x14ac:dyDescent="0.35">
      <c r="B152" t="s">
        <v>137</v>
      </c>
      <c r="C152" t="s">
        <v>91</v>
      </c>
      <c r="D152">
        <v>150</v>
      </c>
      <c r="E152">
        <v>3.6219999999999999</v>
      </c>
      <c r="F152">
        <v>3.4630000000000001</v>
      </c>
      <c r="G152">
        <v>3.7810000000000001</v>
      </c>
      <c r="H152">
        <v>0.10706</v>
      </c>
      <c r="I152">
        <v>0.50353000000000003</v>
      </c>
      <c r="J152">
        <v>0.23164999999999999</v>
      </c>
      <c r="K152">
        <v>0.25747999999999999</v>
      </c>
      <c r="L152">
        <v>4.8520000000000001E-2</v>
      </c>
      <c r="M152">
        <v>0.24063000000000001</v>
      </c>
      <c r="N152">
        <v>2.2328399999999999</v>
      </c>
      <c r="O152">
        <v>2016</v>
      </c>
    </row>
    <row r="153" spans="2:15" x14ac:dyDescent="0.35">
      <c r="B153" t="s">
        <v>171</v>
      </c>
      <c r="C153" t="s">
        <v>91</v>
      </c>
      <c r="D153">
        <v>151</v>
      </c>
      <c r="E153">
        <v>3.6070000000000002</v>
      </c>
      <c r="F153">
        <v>3.5329999999999999</v>
      </c>
      <c r="G153">
        <v>3.681</v>
      </c>
      <c r="H153">
        <v>0.22414999999999999</v>
      </c>
      <c r="I153">
        <v>0.31090000000000001</v>
      </c>
      <c r="J153">
        <v>0.18829000000000001</v>
      </c>
      <c r="K153">
        <v>0.30953000000000003</v>
      </c>
      <c r="L153">
        <v>0.1192</v>
      </c>
      <c r="M153">
        <v>0.29914000000000002</v>
      </c>
      <c r="N153">
        <v>2.15604</v>
      </c>
      <c r="O153">
        <v>2016</v>
      </c>
    </row>
    <row r="154" spans="2:15" x14ac:dyDescent="0.35">
      <c r="B154" t="s">
        <v>175</v>
      </c>
      <c r="C154" t="s">
        <v>91</v>
      </c>
      <c r="D154">
        <v>152</v>
      </c>
      <c r="E154">
        <v>3.5150000000000001</v>
      </c>
      <c r="F154">
        <v>3.444</v>
      </c>
      <c r="G154">
        <v>3.5859999999999999</v>
      </c>
      <c r="H154">
        <v>0.32845999999999997</v>
      </c>
      <c r="I154">
        <v>0.61585999999999996</v>
      </c>
      <c r="J154">
        <v>0.31864999999999999</v>
      </c>
      <c r="K154">
        <v>0.54320000000000002</v>
      </c>
      <c r="L154">
        <v>0.50521000000000005</v>
      </c>
      <c r="M154">
        <v>0.23552000000000001</v>
      </c>
      <c r="N154">
        <v>0.96819</v>
      </c>
      <c r="O154">
        <v>2016</v>
      </c>
    </row>
    <row r="155" spans="2:15" x14ac:dyDescent="0.35">
      <c r="B155" t="s">
        <v>176</v>
      </c>
      <c r="C155" t="s">
        <v>91</v>
      </c>
      <c r="D155">
        <v>153</v>
      </c>
      <c r="E155">
        <v>3.484</v>
      </c>
      <c r="F155">
        <v>3.4039999999999999</v>
      </c>
      <c r="G155">
        <v>3.5640000000000001</v>
      </c>
      <c r="H155">
        <v>0.39499000000000001</v>
      </c>
      <c r="I155">
        <v>0.10419</v>
      </c>
      <c r="J155">
        <v>0.21027999999999999</v>
      </c>
      <c r="K155">
        <v>0.39746999999999999</v>
      </c>
      <c r="L155">
        <v>6.6809999999999994E-2</v>
      </c>
      <c r="M155">
        <v>0.20180000000000001</v>
      </c>
      <c r="N155">
        <v>2.10812</v>
      </c>
      <c r="O155">
        <v>2016</v>
      </c>
    </row>
    <row r="156" spans="2:15" x14ac:dyDescent="0.35">
      <c r="B156" t="s">
        <v>174</v>
      </c>
      <c r="C156" t="s">
        <v>100</v>
      </c>
      <c r="D156">
        <v>154</v>
      </c>
      <c r="E156">
        <v>3.36</v>
      </c>
      <c r="F156">
        <v>3.2879999999999998</v>
      </c>
      <c r="G156">
        <v>3.4319999999999999</v>
      </c>
      <c r="H156">
        <v>0.38227</v>
      </c>
      <c r="I156">
        <v>0.11037</v>
      </c>
      <c r="J156">
        <v>0.17344000000000001</v>
      </c>
      <c r="K156">
        <v>0.1643</v>
      </c>
      <c r="L156">
        <v>7.1120000000000003E-2</v>
      </c>
      <c r="M156">
        <v>0.31268000000000001</v>
      </c>
      <c r="N156">
        <v>2.1455799999999998</v>
      </c>
      <c r="O156">
        <v>2016</v>
      </c>
    </row>
    <row r="157" spans="2:15" x14ac:dyDescent="0.35">
      <c r="B157" t="s">
        <v>179</v>
      </c>
      <c r="C157" t="s">
        <v>91</v>
      </c>
      <c r="D157">
        <v>155</v>
      </c>
      <c r="E157">
        <v>3.3029999999999999</v>
      </c>
      <c r="F157">
        <v>3.1920000000000002</v>
      </c>
      <c r="G157">
        <v>3.4140000000000001</v>
      </c>
      <c r="H157">
        <v>0.28122999999999998</v>
      </c>
      <c r="I157">
        <v>0</v>
      </c>
      <c r="J157">
        <v>0.24811</v>
      </c>
      <c r="K157">
        <v>0.34677999999999998</v>
      </c>
      <c r="L157">
        <v>0.11587</v>
      </c>
      <c r="M157">
        <v>0.17516999999999999</v>
      </c>
      <c r="N157">
        <v>2.1354000000000002</v>
      </c>
      <c r="O157">
        <v>2016</v>
      </c>
    </row>
    <row r="158" spans="2:15" x14ac:dyDescent="0.35">
      <c r="B158" t="s">
        <v>177</v>
      </c>
      <c r="C158" t="s">
        <v>26</v>
      </c>
      <c r="D158">
        <v>156</v>
      </c>
      <c r="E158">
        <v>3.069</v>
      </c>
      <c r="F158">
        <v>2.9359999999999999</v>
      </c>
      <c r="G158">
        <v>3.202</v>
      </c>
      <c r="H158">
        <v>0.74719000000000002</v>
      </c>
      <c r="I158">
        <v>0.14865999999999999</v>
      </c>
      <c r="J158">
        <v>0.62994000000000006</v>
      </c>
      <c r="K158">
        <v>6.9120000000000001E-2</v>
      </c>
      <c r="L158">
        <v>0.17233000000000001</v>
      </c>
      <c r="M158">
        <v>0.48397000000000001</v>
      </c>
      <c r="N158">
        <v>0.81789000000000001</v>
      </c>
      <c r="O158">
        <v>2016</v>
      </c>
    </row>
    <row r="159" spans="2:15" x14ac:dyDescent="0.35">
      <c r="B159" t="s">
        <v>178</v>
      </c>
      <c r="C159" t="s">
        <v>91</v>
      </c>
      <c r="D159">
        <v>157</v>
      </c>
      <c r="E159">
        <v>2.9049999999999998</v>
      </c>
      <c r="F159">
        <v>2.7320000000000002</v>
      </c>
      <c r="G159">
        <v>3.0779999999999998</v>
      </c>
      <c r="H159">
        <v>6.8309999999999996E-2</v>
      </c>
      <c r="I159">
        <v>0.23441999999999999</v>
      </c>
      <c r="J159">
        <v>0.15747</v>
      </c>
      <c r="K159">
        <v>4.3200000000000002E-2</v>
      </c>
      <c r="L159">
        <v>9.4189999999999996E-2</v>
      </c>
      <c r="M159">
        <v>0.2029</v>
      </c>
      <c r="N159">
        <v>2.1040399999999999</v>
      </c>
      <c r="O159">
        <v>2016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3C4E4-27CB-4D7A-B899-A13AE1DCA1BE}">
  <dimension ref="B2:N157"/>
  <sheetViews>
    <sheetView zoomScale="80" zoomScaleNormal="80" workbookViewId="0">
      <selection activeCell="J24" sqref="J24"/>
    </sheetView>
  </sheetViews>
  <sheetFormatPr defaultRowHeight="14.5" x14ac:dyDescent="0.35"/>
  <sheetData>
    <row r="2" spans="2:14" x14ac:dyDescent="0.35">
      <c r="B2" t="s">
        <v>0</v>
      </c>
      <c r="C2" t="s">
        <v>213</v>
      </c>
      <c r="D2" t="s">
        <v>214</v>
      </c>
      <c r="E2" t="s">
        <v>215</v>
      </c>
      <c r="F2" t="s">
        <v>216</v>
      </c>
      <c r="G2" t="s">
        <v>217</v>
      </c>
      <c r="H2" t="s">
        <v>6</v>
      </c>
      <c r="I2" t="s">
        <v>218</v>
      </c>
      <c r="J2" t="s">
        <v>8</v>
      </c>
      <c r="K2" t="s">
        <v>10</v>
      </c>
      <c r="L2" t="s">
        <v>219</v>
      </c>
      <c r="M2" t="s">
        <v>220</v>
      </c>
      <c r="N2" t="s">
        <v>198</v>
      </c>
    </row>
    <row r="3" spans="2:14" x14ac:dyDescent="0.35">
      <c r="B3" t="s">
        <v>16</v>
      </c>
      <c r="C3">
        <v>1</v>
      </c>
      <c r="D3">
        <v>7.5370001792907697</v>
      </c>
      <c r="E3">
        <v>7.5944448205828703</v>
      </c>
      <c r="F3">
        <v>7.4795555379986798</v>
      </c>
      <c r="G3">
        <v>1.6164631843566899</v>
      </c>
      <c r="H3">
        <v>1.5335235595703101</v>
      </c>
      <c r="I3">
        <v>0.79666650295257602</v>
      </c>
      <c r="J3">
        <v>0.63542258739471402</v>
      </c>
      <c r="K3">
        <v>0.36201223731040999</v>
      </c>
      <c r="L3">
        <v>0.315963834524155</v>
      </c>
      <c r="M3">
        <v>2.27702665328979</v>
      </c>
      <c r="N3">
        <v>2017</v>
      </c>
    </row>
    <row r="4" spans="2:14" x14ac:dyDescent="0.35">
      <c r="B4" t="s">
        <v>15</v>
      </c>
      <c r="C4">
        <v>2</v>
      </c>
      <c r="D4">
        <v>7.5219998359680202</v>
      </c>
      <c r="E4">
        <v>7.5817280648648699</v>
      </c>
      <c r="F4">
        <v>7.4622716070711599</v>
      </c>
      <c r="G4">
        <v>1.48238301277161</v>
      </c>
      <c r="H4">
        <v>1.5511215925216699</v>
      </c>
      <c r="I4">
        <v>0.79256552457809404</v>
      </c>
      <c r="J4">
        <v>0.62600672245025601</v>
      </c>
      <c r="K4">
        <v>0.35528048872947698</v>
      </c>
      <c r="L4">
        <v>0.40077006816864003</v>
      </c>
      <c r="M4">
        <v>2.3137073516845699</v>
      </c>
      <c r="N4">
        <v>2017</v>
      </c>
    </row>
    <row r="5" spans="2:14" x14ac:dyDescent="0.35">
      <c r="B5" t="s">
        <v>14</v>
      </c>
      <c r="C5">
        <v>3</v>
      </c>
      <c r="D5">
        <v>7.5040001869201696</v>
      </c>
      <c r="E5">
        <v>7.62203047305346</v>
      </c>
      <c r="F5">
        <v>7.38596990078688</v>
      </c>
      <c r="G5">
        <v>1.4806330204010001</v>
      </c>
      <c r="H5">
        <v>1.6105740070343</v>
      </c>
      <c r="I5">
        <v>0.83355212211608898</v>
      </c>
      <c r="J5">
        <v>0.62716263532638505</v>
      </c>
      <c r="K5">
        <v>0.475540220737457</v>
      </c>
      <c r="L5">
        <v>0.15352655947208399</v>
      </c>
      <c r="M5">
        <v>2.32271528244019</v>
      </c>
      <c r="N5">
        <v>2017</v>
      </c>
    </row>
    <row r="6" spans="2:14" x14ac:dyDescent="0.35">
      <c r="B6" t="s">
        <v>12</v>
      </c>
      <c r="C6">
        <v>4</v>
      </c>
      <c r="D6">
        <v>7.4939999580383301</v>
      </c>
      <c r="E6">
        <v>7.5617724204063403</v>
      </c>
      <c r="F6">
        <v>7.4262274956703198</v>
      </c>
      <c r="G6">
        <v>1.56497955322266</v>
      </c>
      <c r="H6">
        <v>1.51691174507141</v>
      </c>
      <c r="I6">
        <v>0.85813128948211703</v>
      </c>
      <c r="J6">
        <v>0.62007057666778598</v>
      </c>
      <c r="K6">
        <v>0.29054927825927701</v>
      </c>
      <c r="L6">
        <v>0.367007285356522</v>
      </c>
      <c r="M6">
        <v>2.2767162322997998</v>
      </c>
      <c r="N6">
        <v>2017</v>
      </c>
    </row>
    <row r="7" spans="2:14" x14ac:dyDescent="0.35">
      <c r="B7" t="s">
        <v>19</v>
      </c>
      <c r="C7">
        <v>5</v>
      </c>
      <c r="D7">
        <v>7.4689998626709002</v>
      </c>
      <c r="E7">
        <v>7.5275420758128204</v>
      </c>
      <c r="F7">
        <v>7.41045764952898</v>
      </c>
      <c r="G7">
        <v>1.4435719251632699</v>
      </c>
      <c r="H7">
        <v>1.5402467250823999</v>
      </c>
      <c r="I7">
        <v>0.80915766954421997</v>
      </c>
      <c r="J7">
        <v>0.61795085668563798</v>
      </c>
      <c r="K7">
        <v>0.24548277258873</v>
      </c>
      <c r="L7">
        <v>0.38261154294013999</v>
      </c>
      <c r="M7">
        <v>2.4301815032959002</v>
      </c>
      <c r="N7">
        <v>2017</v>
      </c>
    </row>
    <row r="8" spans="2:14" x14ac:dyDescent="0.35">
      <c r="B8" t="s">
        <v>20</v>
      </c>
      <c r="C8">
        <v>6</v>
      </c>
      <c r="D8">
        <v>7.3769998550415004</v>
      </c>
      <c r="E8">
        <v>7.4274258412420702</v>
      </c>
      <c r="F8">
        <v>7.3265738688409296</v>
      </c>
      <c r="G8">
        <v>1.50394463539124</v>
      </c>
      <c r="H8">
        <v>1.42893922328949</v>
      </c>
      <c r="I8">
        <v>0.81069612503051802</v>
      </c>
      <c r="J8">
        <v>0.58538448810577404</v>
      </c>
      <c r="K8">
        <v>0.47048982977867099</v>
      </c>
      <c r="L8">
        <v>0.28266182541847201</v>
      </c>
      <c r="M8">
        <v>2.2948040962219198</v>
      </c>
      <c r="N8">
        <v>2017</v>
      </c>
    </row>
    <row r="9" spans="2:14" x14ac:dyDescent="0.35">
      <c r="B9" t="s">
        <v>17</v>
      </c>
      <c r="C9">
        <v>7</v>
      </c>
      <c r="D9">
        <v>7.31599998474121</v>
      </c>
      <c r="E9">
        <v>7.3844028353691096</v>
      </c>
      <c r="F9">
        <v>7.2475971341133096</v>
      </c>
      <c r="G9">
        <v>1.47920441627502</v>
      </c>
      <c r="H9">
        <v>1.4813489913940401</v>
      </c>
      <c r="I9">
        <v>0.83455765247345004</v>
      </c>
      <c r="J9">
        <v>0.61110091209411599</v>
      </c>
      <c r="K9">
        <v>0.43553972244262701</v>
      </c>
      <c r="L9">
        <v>0.287371516227722</v>
      </c>
      <c r="M9">
        <v>2.1872644424438499</v>
      </c>
      <c r="N9">
        <v>2017</v>
      </c>
    </row>
    <row r="10" spans="2:14" x14ac:dyDescent="0.35">
      <c r="B10" t="s">
        <v>22</v>
      </c>
      <c r="C10">
        <v>8</v>
      </c>
      <c r="D10">
        <v>7.3140001296997097</v>
      </c>
      <c r="E10">
        <v>7.3795104418694999</v>
      </c>
      <c r="F10">
        <v>7.2484898175299204</v>
      </c>
      <c r="G10">
        <v>1.40570604801178</v>
      </c>
      <c r="H10">
        <v>1.54819512367249</v>
      </c>
      <c r="I10">
        <v>0.81675970554351796</v>
      </c>
      <c r="J10">
        <v>0.61406213045120195</v>
      </c>
      <c r="K10">
        <v>0.50000512599945102</v>
      </c>
      <c r="L10">
        <v>0.382816702127457</v>
      </c>
      <c r="M10">
        <v>2.0464563369750999</v>
      </c>
      <c r="N10">
        <v>2017</v>
      </c>
    </row>
    <row r="11" spans="2:14" x14ac:dyDescent="0.35">
      <c r="B11" t="s">
        <v>21</v>
      </c>
      <c r="C11">
        <v>9</v>
      </c>
      <c r="D11">
        <v>7.2839999198913601</v>
      </c>
      <c r="E11">
        <v>7.3440948773920498</v>
      </c>
      <c r="F11">
        <v>7.2239049623906597</v>
      </c>
      <c r="G11">
        <v>1.4943872690200799</v>
      </c>
      <c r="H11">
        <v>1.4781621694564799</v>
      </c>
      <c r="I11">
        <v>0.83087515830993697</v>
      </c>
      <c r="J11">
        <v>0.61292409896850597</v>
      </c>
      <c r="K11">
        <v>0.38539925217628501</v>
      </c>
      <c r="L11">
        <v>0.38439872860908503</v>
      </c>
      <c r="M11">
        <v>2.0975379943847701</v>
      </c>
      <c r="N11">
        <v>2017</v>
      </c>
    </row>
    <row r="12" spans="2:14" x14ac:dyDescent="0.35">
      <c r="B12" t="s">
        <v>24</v>
      </c>
      <c r="C12">
        <v>10</v>
      </c>
      <c r="D12">
        <v>7.2839999198913601</v>
      </c>
      <c r="E12">
        <v>7.3566512249410199</v>
      </c>
      <c r="F12">
        <v>7.2113486148417003</v>
      </c>
      <c r="G12">
        <v>1.484414935112</v>
      </c>
      <c r="H12">
        <v>1.51004195213318</v>
      </c>
      <c r="I12">
        <v>0.84388679265975997</v>
      </c>
      <c r="J12">
        <v>0.60160738229751598</v>
      </c>
      <c r="K12">
        <v>0.47769924998283397</v>
      </c>
      <c r="L12">
        <v>0.30118373036384599</v>
      </c>
      <c r="M12">
        <v>2.0652108192443799</v>
      </c>
      <c r="N12">
        <v>2017</v>
      </c>
    </row>
    <row r="13" spans="2:14" x14ac:dyDescent="0.35">
      <c r="B13" t="s">
        <v>25</v>
      </c>
      <c r="C13">
        <v>11</v>
      </c>
      <c r="D13">
        <v>7.2129998207092303</v>
      </c>
      <c r="E13">
        <v>7.2798532564938103</v>
      </c>
      <c r="F13">
        <v>7.1461463849246503</v>
      </c>
      <c r="G13">
        <v>1.37538242340088</v>
      </c>
      <c r="H13">
        <v>1.3762899637222299</v>
      </c>
      <c r="I13">
        <v>0.83840399980545</v>
      </c>
      <c r="J13">
        <v>0.40598860383033802</v>
      </c>
      <c r="K13">
        <v>0.33008265495300299</v>
      </c>
      <c r="L13">
        <v>8.5242100059986101E-2</v>
      </c>
      <c r="M13">
        <v>2.80175733566284</v>
      </c>
      <c r="N13">
        <v>2017</v>
      </c>
    </row>
    <row r="14" spans="2:14" x14ac:dyDescent="0.35">
      <c r="B14" t="s">
        <v>27</v>
      </c>
      <c r="C14">
        <v>12</v>
      </c>
      <c r="D14">
        <v>7.0789999961853001</v>
      </c>
      <c r="E14">
        <v>7.1681116662919502</v>
      </c>
      <c r="F14">
        <v>6.98988832607865</v>
      </c>
      <c r="G14">
        <v>1.1097062826156601</v>
      </c>
      <c r="H14">
        <v>1.41640365123749</v>
      </c>
      <c r="I14">
        <v>0.75950926542282104</v>
      </c>
      <c r="J14">
        <v>0.58013164997100797</v>
      </c>
      <c r="K14">
        <v>0.21461322903633101</v>
      </c>
      <c r="L14">
        <v>0.100106589496136</v>
      </c>
      <c r="M14">
        <v>2.8986392021179199</v>
      </c>
      <c r="N14">
        <v>2017</v>
      </c>
    </row>
    <row r="15" spans="2:14" x14ac:dyDescent="0.35">
      <c r="B15" t="s">
        <v>29</v>
      </c>
      <c r="C15">
        <v>13</v>
      </c>
      <c r="D15">
        <v>7.0060000419616699</v>
      </c>
      <c r="E15">
        <v>7.0706698121130502</v>
      </c>
      <c r="F15">
        <v>6.9413302718102896</v>
      </c>
      <c r="G15">
        <v>1.4870972633361801</v>
      </c>
      <c r="H15">
        <v>1.4599449634552</v>
      </c>
      <c r="I15">
        <v>0.81532841920852706</v>
      </c>
      <c r="J15">
        <v>0.56776618957519498</v>
      </c>
      <c r="K15">
        <v>0.31647232174873402</v>
      </c>
      <c r="L15">
        <v>0.221060365438461</v>
      </c>
      <c r="M15">
        <v>2.1385064125061</v>
      </c>
      <c r="N15">
        <v>2017</v>
      </c>
    </row>
    <row r="16" spans="2:14" x14ac:dyDescent="0.35">
      <c r="B16" t="s">
        <v>31</v>
      </c>
      <c r="C16">
        <v>14</v>
      </c>
      <c r="D16">
        <v>6.9930000305175799</v>
      </c>
      <c r="E16">
        <v>7.0746567475795699</v>
      </c>
      <c r="F16">
        <v>6.9113433134555802</v>
      </c>
      <c r="G16">
        <v>1.54625928401947</v>
      </c>
      <c r="H16">
        <v>1.4199205636978101</v>
      </c>
      <c r="I16">
        <v>0.77428662776946999</v>
      </c>
      <c r="J16">
        <v>0.50574052333831798</v>
      </c>
      <c r="K16">
        <v>0.39257878065109297</v>
      </c>
      <c r="L16">
        <v>0.135638788342476</v>
      </c>
      <c r="M16">
        <v>2.2181134223938002</v>
      </c>
      <c r="N16">
        <v>2017</v>
      </c>
    </row>
    <row r="17" spans="2:14" x14ac:dyDescent="0.35">
      <c r="B17" t="s">
        <v>34</v>
      </c>
      <c r="C17">
        <v>15</v>
      </c>
      <c r="D17">
        <v>6.9770002365112296</v>
      </c>
      <c r="E17">
        <v>7.04335166752338</v>
      </c>
      <c r="F17">
        <v>6.91064880549908</v>
      </c>
      <c r="G17">
        <v>1.53570663928986</v>
      </c>
      <c r="H17">
        <v>1.5582311153411901</v>
      </c>
      <c r="I17">
        <v>0.80978262424469005</v>
      </c>
      <c r="J17">
        <v>0.57311034202575695</v>
      </c>
      <c r="K17">
        <v>0.42785832285880998</v>
      </c>
      <c r="L17">
        <v>0.29838815331459001</v>
      </c>
      <c r="M17">
        <v>1.7738690376281701</v>
      </c>
      <c r="N17">
        <v>2017</v>
      </c>
    </row>
    <row r="18" spans="2:14" x14ac:dyDescent="0.35">
      <c r="B18" t="s">
        <v>43</v>
      </c>
      <c r="C18">
        <v>16</v>
      </c>
      <c r="D18">
        <v>6.9510002136230504</v>
      </c>
      <c r="E18">
        <v>7.0053815692663202</v>
      </c>
      <c r="F18">
        <v>6.89661885797977</v>
      </c>
      <c r="G18">
        <v>1.4879233837127701</v>
      </c>
      <c r="H18">
        <v>1.4725203514099099</v>
      </c>
      <c r="I18">
        <v>0.79895073175430298</v>
      </c>
      <c r="J18">
        <v>0.56251138448715199</v>
      </c>
      <c r="K18">
        <v>0.33626917004585299</v>
      </c>
      <c r="L18">
        <v>0.276731938123703</v>
      </c>
      <c r="M18">
        <v>2.0157699584960902</v>
      </c>
      <c r="N18">
        <v>2017</v>
      </c>
    </row>
    <row r="19" spans="2:14" x14ac:dyDescent="0.35">
      <c r="B19" t="s">
        <v>35</v>
      </c>
      <c r="C19">
        <v>17</v>
      </c>
      <c r="D19">
        <v>6.8909997940063503</v>
      </c>
      <c r="E19">
        <v>6.9558207504451302</v>
      </c>
      <c r="F19">
        <v>6.8261788375675696</v>
      </c>
      <c r="G19">
        <v>1.4637807607650799</v>
      </c>
      <c r="H19">
        <v>1.46231269836426</v>
      </c>
      <c r="I19">
        <v>0.81809186935424805</v>
      </c>
      <c r="J19">
        <v>0.53977072238922097</v>
      </c>
      <c r="K19">
        <v>0.23150333762168901</v>
      </c>
      <c r="L19">
        <v>0.25134313106536899</v>
      </c>
      <c r="M19">
        <v>2.1242103576660201</v>
      </c>
      <c r="N19">
        <v>2017</v>
      </c>
    </row>
    <row r="20" spans="2:14" x14ac:dyDescent="0.35">
      <c r="B20" t="s">
        <v>33</v>
      </c>
      <c r="C20">
        <v>18</v>
      </c>
      <c r="D20">
        <v>6.8629999160766602</v>
      </c>
      <c r="E20">
        <v>6.9236860998719898</v>
      </c>
      <c r="F20">
        <v>6.8023137322813296</v>
      </c>
      <c r="G20">
        <v>1.74194359779358</v>
      </c>
      <c r="H20">
        <v>1.4575836658477801</v>
      </c>
      <c r="I20">
        <v>0.84508949518203702</v>
      </c>
      <c r="J20">
        <v>0.59662789106368996</v>
      </c>
      <c r="K20">
        <v>0.283180981874466</v>
      </c>
      <c r="L20">
        <v>0.31883442401885997</v>
      </c>
      <c r="M20">
        <v>1.61951208114624</v>
      </c>
      <c r="N20">
        <v>2017</v>
      </c>
    </row>
    <row r="21" spans="2:14" x14ac:dyDescent="0.35">
      <c r="B21" t="s">
        <v>37</v>
      </c>
      <c r="C21">
        <v>19</v>
      </c>
      <c r="D21">
        <v>6.7140002250671396</v>
      </c>
      <c r="E21">
        <v>6.7837917611002903</v>
      </c>
      <c r="F21">
        <v>6.6442086890339898</v>
      </c>
      <c r="G21">
        <v>1.44163393974304</v>
      </c>
      <c r="H21">
        <v>1.49646008014679</v>
      </c>
      <c r="I21">
        <v>0.80533593893051103</v>
      </c>
      <c r="J21">
        <v>0.50819003582000699</v>
      </c>
      <c r="K21">
        <v>0.492774158716202</v>
      </c>
      <c r="L21">
        <v>0.265428066253662</v>
      </c>
      <c r="M21">
        <v>1.7041435241699201</v>
      </c>
      <c r="N21">
        <v>2017</v>
      </c>
    </row>
    <row r="22" spans="2:14" x14ac:dyDescent="0.35">
      <c r="B22" t="s">
        <v>44</v>
      </c>
      <c r="C22">
        <v>20</v>
      </c>
      <c r="D22">
        <v>6.65199995040894</v>
      </c>
      <c r="E22">
        <v>6.7392505601048498</v>
      </c>
      <c r="F22">
        <v>6.5647493407130204</v>
      </c>
      <c r="G22">
        <v>1.25278460979462</v>
      </c>
      <c r="H22">
        <v>1.28402495384216</v>
      </c>
      <c r="I22">
        <v>0.81947970390319802</v>
      </c>
      <c r="J22">
        <v>0.37689527869224498</v>
      </c>
      <c r="K22">
        <v>0.32666242122650102</v>
      </c>
      <c r="L22">
        <v>8.2287982106208801E-2</v>
      </c>
      <c r="M22">
        <v>2.5095858573913601</v>
      </c>
      <c r="N22">
        <v>2017</v>
      </c>
    </row>
    <row r="23" spans="2:14" x14ac:dyDescent="0.35">
      <c r="B23" t="s">
        <v>36</v>
      </c>
      <c r="C23">
        <v>21</v>
      </c>
      <c r="D23">
        <v>6.6479997634887704</v>
      </c>
      <c r="E23">
        <v>6.7220473037660096</v>
      </c>
      <c r="F23">
        <v>6.5739522232115304</v>
      </c>
      <c r="G23">
        <v>1.62634336948395</v>
      </c>
      <c r="H23">
        <v>1.2664102315902701</v>
      </c>
      <c r="I23">
        <v>0.726798236370087</v>
      </c>
      <c r="J23">
        <v>0.60834527015686002</v>
      </c>
      <c r="K23">
        <v>0.36094194650650002</v>
      </c>
      <c r="L23">
        <v>0.32448956370353699</v>
      </c>
      <c r="M23">
        <v>1.734703540802</v>
      </c>
      <c r="N23">
        <v>2017</v>
      </c>
    </row>
    <row r="24" spans="2:14" x14ac:dyDescent="0.35">
      <c r="B24" t="s">
        <v>32</v>
      </c>
      <c r="C24">
        <v>22</v>
      </c>
      <c r="D24">
        <v>6.6350002288818404</v>
      </c>
      <c r="E24">
        <v>6.7254695016145698</v>
      </c>
      <c r="F24">
        <v>6.5445309561491003</v>
      </c>
      <c r="G24">
        <v>1.1073532104492201</v>
      </c>
      <c r="H24">
        <v>1.4313060045242301</v>
      </c>
      <c r="I24">
        <v>0.61655235290527299</v>
      </c>
      <c r="J24">
        <v>0.43745374679565402</v>
      </c>
      <c r="K24">
        <v>0.16234989464283001</v>
      </c>
      <c r="L24">
        <v>0.111092761158943</v>
      </c>
      <c r="M24">
        <v>2.7692670822143599</v>
      </c>
      <c r="N24">
        <v>2017</v>
      </c>
    </row>
    <row r="25" spans="2:14" x14ac:dyDescent="0.35">
      <c r="B25" t="s">
        <v>48</v>
      </c>
      <c r="C25">
        <v>23</v>
      </c>
      <c r="D25">
        <v>6.6090002059936497</v>
      </c>
      <c r="E25">
        <v>6.6838624626398104</v>
      </c>
      <c r="F25">
        <v>6.5341379493474996</v>
      </c>
      <c r="G25">
        <v>1.35268235206604</v>
      </c>
      <c r="H25">
        <v>1.4338852167129501</v>
      </c>
      <c r="I25">
        <v>0.75444400310516402</v>
      </c>
      <c r="J25">
        <v>0.49094617366790799</v>
      </c>
      <c r="K25">
        <v>8.8106758892536205E-2</v>
      </c>
      <c r="L25">
        <v>3.6872927099466303E-2</v>
      </c>
      <c r="M25">
        <v>2.4518618583679199</v>
      </c>
      <c r="N25">
        <v>2017</v>
      </c>
    </row>
    <row r="26" spans="2:14" x14ac:dyDescent="0.35">
      <c r="B26" t="s">
        <v>47</v>
      </c>
      <c r="C26">
        <v>24</v>
      </c>
      <c r="D26">
        <v>6.59899997711182</v>
      </c>
      <c r="E26">
        <v>6.6900850860774499</v>
      </c>
      <c r="F26">
        <v>6.5079148681461803</v>
      </c>
      <c r="G26">
        <v>1.1852954626083401</v>
      </c>
      <c r="H26">
        <v>1.44045114517212</v>
      </c>
      <c r="I26">
        <v>0.69513708353042603</v>
      </c>
      <c r="J26">
        <v>0.494519203901291</v>
      </c>
      <c r="K26">
        <v>0.109457060694695</v>
      </c>
      <c r="L26">
        <v>5.9739887714386E-2</v>
      </c>
      <c r="M26">
        <v>2.6140053272247301</v>
      </c>
      <c r="N26">
        <v>2017</v>
      </c>
    </row>
    <row r="27" spans="2:14" x14ac:dyDescent="0.35">
      <c r="B27" t="s">
        <v>30</v>
      </c>
      <c r="C27">
        <v>25</v>
      </c>
      <c r="D27">
        <v>6.5780000686645499</v>
      </c>
      <c r="E27">
        <v>6.67114890769124</v>
      </c>
      <c r="F27">
        <v>6.4848512296378598</v>
      </c>
      <c r="G27">
        <v>1.1531838178634599</v>
      </c>
      <c r="H27">
        <v>1.2108621597289999</v>
      </c>
      <c r="I27">
        <v>0.70997899770736705</v>
      </c>
      <c r="J27">
        <v>0.41273000836372398</v>
      </c>
      <c r="K27">
        <v>0.120990432798862</v>
      </c>
      <c r="L27">
        <v>0.13277411460876501</v>
      </c>
      <c r="M27">
        <v>2.8371548652648899</v>
      </c>
      <c r="N27">
        <v>2017</v>
      </c>
    </row>
    <row r="28" spans="2:14" x14ac:dyDescent="0.35">
      <c r="B28" t="s">
        <v>40</v>
      </c>
      <c r="C28">
        <v>26</v>
      </c>
      <c r="D28">
        <v>6.57200002670288</v>
      </c>
      <c r="E28">
        <v>6.6367230691015697</v>
      </c>
      <c r="F28">
        <v>6.5072769843041902</v>
      </c>
      <c r="G28">
        <v>1.69227766990662</v>
      </c>
      <c r="H28">
        <v>1.35381436347961</v>
      </c>
      <c r="I28">
        <v>0.94949239492416404</v>
      </c>
      <c r="J28">
        <v>0.54984056949615501</v>
      </c>
      <c r="K28">
        <v>0.34596598148345897</v>
      </c>
      <c r="L28">
        <v>0.46430778503418002</v>
      </c>
      <c r="M28">
        <v>1.2163619995117201</v>
      </c>
      <c r="N28">
        <v>2017</v>
      </c>
    </row>
    <row r="29" spans="2:14" x14ac:dyDescent="0.35">
      <c r="B29" t="s">
        <v>55</v>
      </c>
      <c r="C29">
        <v>27</v>
      </c>
      <c r="D29">
        <v>6.52699995040894</v>
      </c>
      <c r="E29">
        <v>6.59839677289128</v>
      </c>
      <c r="F29">
        <v>6.4556031279265902</v>
      </c>
      <c r="G29">
        <v>1.3432798385620099</v>
      </c>
      <c r="H29">
        <v>1.4884116649627701</v>
      </c>
      <c r="I29">
        <v>0.82194423675537098</v>
      </c>
      <c r="J29">
        <v>0.58876705169677701</v>
      </c>
      <c r="K29">
        <v>0.57473057508468595</v>
      </c>
      <c r="L29">
        <v>0.15306606888771099</v>
      </c>
      <c r="M29">
        <v>1.55686283111572</v>
      </c>
      <c r="N29">
        <v>2017</v>
      </c>
    </row>
    <row r="30" spans="2:14" x14ac:dyDescent="0.35">
      <c r="B30" t="s">
        <v>50</v>
      </c>
      <c r="C30">
        <v>28</v>
      </c>
      <c r="D30">
        <v>6.4539999961853001</v>
      </c>
      <c r="E30">
        <v>6.5459062176942799</v>
      </c>
      <c r="F30">
        <v>6.3620937746763202</v>
      </c>
      <c r="G30">
        <v>1.2175596952438399</v>
      </c>
      <c r="H30">
        <v>1.4122278690338099</v>
      </c>
      <c r="I30">
        <v>0.71921682357788097</v>
      </c>
      <c r="J30">
        <v>0.57939225435257002</v>
      </c>
      <c r="K30">
        <v>0.17509692907333399</v>
      </c>
      <c r="L30">
        <v>0.178061872720718</v>
      </c>
      <c r="M30">
        <v>2.1724095344543501</v>
      </c>
      <c r="N30">
        <v>2017</v>
      </c>
    </row>
    <row r="31" spans="2:14" x14ac:dyDescent="0.35">
      <c r="B31" t="s">
        <v>62</v>
      </c>
      <c r="C31">
        <v>29</v>
      </c>
      <c r="D31">
        <v>6.4539999961853001</v>
      </c>
      <c r="E31">
        <v>6.5668739727139496</v>
      </c>
      <c r="F31">
        <v>6.3411260196566603</v>
      </c>
      <c r="G31">
        <v>0.87200194597244296</v>
      </c>
      <c r="H31">
        <v>1.2555851936340301</v>
      </c>
      <c r="I31">
        <v>0.54023998975753795</v>
      </c>
      <c r="J31">
        <v>0.53131061792373702</v>
      </c>
      <c r="K31">
        <v>0.28348839282989502</v>
      </c>
      <c r="L31">
        <v>7.72232785820961E-2</v>
      </c>
      <c r="M31">
        <v>2.8938910961151101</v>
      </c>
      <c r="N31">
        <v>2017</v>
      </c>
    </row>
    <row r="32" spans="2:14" x14ac:dyDescent="0.35">
      <c r="B32" t="s">
        <v>42</v>
      </c>
      <c r="C32">
        <v>30</v>
      </c>
      <c r="D32">
        <v>6.4520001411437997</v>
      </c>
      <c r="E32">
        <v>6.5571307161450401</v>
      </c>
      <c r="F32">
        <v>6.3468695661425603</v>
      </c>
      <c r="G32">
        <v>1.23374843597412</v>
      </c>
      <c r="H32">
        <v>1.3731925487518299</v>
      </c>
      <c r="I32">
        <v>0.70615613460540805</v>
      </c>
      <c r="J32">
        <v>0.55002683401107799</v>
      </c>
      <c r="K32">
        <v>0.21055693924426999</v>
      </c>
      <c r="L32">
        <v>7.0983923971652998E-2</v>
      </c>
      <c r="M32">
        <v>2.30719995498657</v>
      </c>
      <c r="N32">
        <v>2017</v>
      </c>
    </row>
    <row r="33" spans="2:14" x14ac:dyDescent="0.35">
      <c r="B33" t="s">
        <v>46</v>
      </c>
      <c r="C33">
        <v>31</v>
      </c>
      <c r="D33">
        <v>6.4419999122619602</v>
      </c>
      <c r="E33">
        <v>6.5157678024470798</v>
      </c>
      <c r="F33">
        <v>6.3682320220768496</v>
      </c>
      <c r="G33">
        <v>1.4309234619140601</v>
      </c>
      <c r="H33">
        <v>1.3877768516540501</v>
      </c>
      <c r="I33">
        <v>0.844465851783752</v>
      </c>
      <c r="J33">
        <v>0.47022211551666299</v>
      </c>
      <c r="K33">
        <v>0.12976230680942499</v>
      </c>
      <c r="L33">
        <v>0.17250242829322801</v>
      </c>
      <c r="M33">
        <v>2.0059547424316402</v>
      </c>
      <c r="N33">
        <v>2017</v>
      </c>
    </row>
    <row r="34" spans="2:14" x14ac:dyDescent="0.35">
      <c r="B34" t="s">
        <v>52</v>
      </c>
      <c r="C34">
        <v>32</v>
      </c>
      <c r="D34">
        <v>6.4239997863769496</v>
      </c>
      <c r="E34">
        <v>6.5091168557107402</v>
      </c>
      <c r="F34">
        <v>6.3388827170431599</v>
      </c>
      <c r="G34">
        <v>1.12786877155304</v>
      </c>
      <c r="H34">
        <v>1.42579245567322</v>
      </c>
      <c r="I34">
        <v>0.647239029407501</v>
      </c>
      <c r="J34">
        <v>0.58020073175430298</v>
      </c>
      <c r="K34">
        <v>0.57212311029434204</v>
      </c>
      <c r="L34">
        <v>3.16127352416515E-2</v>
      </c>
      <c r="M34">
        <v>2.0395083427429199</v>
      </c>
      <c r="N34">
        <v>2017</v>
      </c>
    </row>
    <row r="35" spans="2:14" x14ac:dyDescent="0.35">
      <c r="B35" t="s">
        <v>221</v>
      </c>
      <c r="C35">
        <v>33</v>
      </c>
      <c r="D35">
        <v>6.4219999313354501</v>
      </c>
      <c r="E35">
        <v>6.4945960219204402</v>
      </c>
      <c r="F35">
        <v>6.34940384075046</v>
      </c>
      <c r="G35">
        <v>1.43362653255463</v>
      </c>
      <c r="H35">
        <v>1.38456535339355</v>
      </c>
      <c r="I35">
        <v>0.793984234333038</v>
      </c>
      <c r="J35">
        <v>0.36146658658981301</v>
      </c>
      <c r="K35">
        <v>0.258360475301743</v>
      </c>
      <c r="L35">
        <v>6.3829235732555403E-2</v>
      </c>
      <c r="M35">
        <v>2.1266074180603001</v>
      </c>
      <c r="N35">
        <v>2017</v>
      </c>
    </row>
    <row r="36" spans="2:14" x14ac:dyDescent="0.35">
      <c r="B36" t="s">
        <v>54</v>
      </c>
      <c r="C36">
        <v>34</v>
      </c>
      <c r="D36">
        <v>6.4029998779296902</v>
      </c>
      <c r="E36">
        <v>6.4710548453032999</v>
      </c>
      <c r="F36">
        <v>6.3349449105560804</v>
      </c>
      <c r="G36">
        <v>1.3843978643417401</v>
      </c>
      <c r="H36">
        <v>1.5320909023284901</v>
      </c>
      <c r="I36">
        <v>0.88896059989929199</v>
      </c>
      <c r="J36">
        <v>0.40878123044967701</v>
      </c>
      <c r="K36">
        <v>0.190133571624756</v>
      </c>
      <c r="L36">
        <v>7.0914097130298601E-2</v>
      </c>
      <c r="M36">
        <v>1.92775774002075</v>
      </c>
      <c r="N36">
        <v>2017</v>
      </c>
    </row>
    <row r="37" spans="2:14" x14ac:dyDescent="0.35">
      <c r="B37" t="s">
        <v>45</v>
      </c>
      <c r="C37">
        <v>35</v>
      </c>
      <c r="D37">
        <v>6.375</v>
      </c>
      <c r="E37">
        <v>6.5684768143296202</v>
      </c>
      <c r="F37">
        <v>6.1815231856703798</v>
      </c>
      <c r="G37">
        <v>1.87076568603516</v>
      </c>
      <c r="H37">
        <v>1.27429687976837</v>
      </c>
      <c r="I37">
        <v>0.71009808778762795</v>
      </c>
      <c r="J37">
        <v>0.60413098335266102</v>
      </c>
      <c r="K37">
        <v>0.33047387003898598</v>
      </c>
      <c r="L37">
        <v>0.439299255609512</v>
      </c>
      <c r="M37">
        <v>1.1454644203186</v>
      </c>
      <c r="N37">
        <v>2017</v>
      </c>
    </row>
    <row r="38" spans="2:14" x14ac:dyDescent="0.35">
      <c r="B38" t="s">
        <v>51</v>
      </c>
      <c r="C38">
        <v>36</v>
      </c>
      <c r="D38">
        <v>6.3569998741149902</v>
      </c>
      <c r="E38">
        <v>6.45202005416155</v>
      </c>
      <c r="F38">
        <v>6.2619796940684296</v>
      </c>
      <c r="G38">
        <v>1.07062232494354</v>
      </c>
      <c r="H38">
        <v>1.4021829366684</v>
      </c>
      <c r="I38">
        <v>0.59502792358398404</v>
      </c>
      <c r="J38">
        <v>0.47748741507530201</v>
      </c>
      <c r="K38">
        <v>0.149014472961426</v>
      </c>
      <c r="L38">
        <v>4.6668741852045101E-2</v>
      </c>
      <c r="M38">
        <v>2.6160681247711199</v>
      </c>
      <c r="N38">
        <v>2017</v>
      </c>
    </row>
    <row r="39" spans="2:14" x14ac:dyDescent="0.35">
      <c r="B39" t="s">
        <v>53</v>
      </c>
      <c r="C39">
        <v>37</v>
      </c>
      <c r="D39">
        <v>6.3439998626709002</v>
      </c>
      <c r="E39">
        <v>6.4441666120290799</v>
      </c>
      <c r="F39">
        <v>6.2438331133127196</v>
      </c>
      <c r="G39">
        <v>1.53062355518341</v>
      </c>
      <c r="H39">
        <v>1.28667759895325</v>
      </c>
      <c r="I39">
        <v>0.59014832973480202</v>
      </c>
      <c r="J39">
        <v>0.44975057244300798</v>
      </c>
      <c r="K39">
        <v>0.14761601388454401</v>
      </c>
      <c r="L39">
        <v>0.27343225479125999</v>
      </c>
      <c r="M39">
        <v>2.0654296875</v>
      </c>
      <c r="N39">
        <v>2017</v>
      </c>
    </row>
    <row r="40" spans="2:14" x14ac:dyDescent="0.35">
      <c r="B40" t="s">
        <v>60</v>
      </c>
      <c r="C40">
        <v>38</v>
      </c>
      <c r="D40">
        <v>6.1680002212524396</v>
      </c>
      <c r="E40">
        <v>6.3815338906645804</v>
      </c>
      <c r="F40">
        <v>5.9544665518403104</v>
      </c>
      <c r="G40">
        <v>1.36135590076447</v>
      </c>
      <c r="H40">
        <v>1.3802285194396999</v>
      </c>
      <c r="I40">
        <v>0.51998329162597701</v>
      </c>
      <c r="J40">
        <v>0.51863074302673295</v>
      </c>
      <c r="K40">
        <v>0.325296461582184</v>
      </c>
      <c r="L40">
        <v>8.9648161083459906E-3</v>
      </c>
      <c r="M40">
        <v>2.0532474517822301</v>
      </c>
      <c r="N40">
        <v>2017</v>
      </c>
    </row>
    <row r="41" spans="2:14" x14ac:dyDescent="0.35">
      <c r="B41" t="s">
        <v>58</v>
      </c>
      <c r="C41">
        <v>39</v>
      </c>
      <c r="D41">
        <v>6.1050000190734899</v>
      </c>
      <c r="E41">
        <v>6.1919569888710999</v>
      </c>
      <c r="F41">
        <v>6.0180430492758799</v>
      </c>
      <c r="G41">
        <v>1.63295245170593</v>
      </c>
      <c r="H41">
        <v>1.25969874858856</v>
      </c>
      <c r="I41">
        <v>0.63210570812225297</v>
      </c>
      <c r="J41">
        <v>0.49633759260177601</v>
      </c>
      <c r="K41">
        <v>0.22828979790210699</v>
      </c>
      <c r="L41">
        <v>0.21515955030918099</v>
      </c>
      <c r="M41">
        <v>1.64042520523071</v>
      </c>
      <c r="N41">
        <v>2017</v>
      </c>
    </row>
    <row r="42" spans="2:14" x14ac:dyDescent="0.35">
      <c r="B42" t="s">
        <v>64</v>
      </c>
      <c r="C42">
        <v>40</v>
      </c>
      <c r="D42">
        <v>6.09800004959106</v>
      </c>
      <c r="E42">
        <v>6.1773484121262996</v>
      </c>
      <c r="F42">
        <v>6.0186516870558302</v>
      </c>
      <c r="G42">
        <v>1.3253935575485201</v>
      </c>
      <c r="H42">
        <v>1.50505924224854</v>
      </c>
      <c r="I42">
        <v>0.71273291110992398</v>
      </c>
      <c r="J42">
        <v>0.29581746459007302</v>
      </c>
      <c r="K42">
        <v>0.13654448091983801</v>
      </c>
      <c r="L42">
        <v>2.4210851639509201E-2</v>
      </c>
      <c r="M42">
        <v>2.0977766513824498</v>
      </c>
      <c r="N42">
        <v>2017</v>
      </c>
    </row>
    <row r="43" spans="2:14" x14ac:dyDescent="0.35">
      <c r="B43" t="s">
        <v>68</v>
      </c>
      <c r="C43">
        <v>41</v>
      </c>
      <c r="D43">
        <v>6.0869998931884801</v>
      </c>
      <c r="E43">
        <v>6.1789890678226902</v>
      </c>
      <c r="F43">
        <v>5.9950107185542603</v>
      </c>
      <c r="G43">
        <v>1.4884122610092201</v>
      </c>
      <c r="H43">
        <v>1.3231104612350499</v>
      </c>
      <c r="I43">
        <v>0.65313303470611594</v>
      </c>
      <c r="J43">
        <v>0.53674691915512096</v>
      </c>
      <c r="K43">
        <v>0.172668486833572</v>
      </c>
      <c r="L43">
        <v>0.25704216957092302</v>
      </c>
      <c r="M43">
        <v>1.65614938735962</v>
      </c>
      <c r="N43">
        <v>2017</v>
      </c>
    </row>
    <row r="44" spans="2:14" x14ac:dyDescent="0.35">
      <c r="B44" t="s">
        <v>80</v>
      </c>
      <c r="C44">
        <v>42</v>
      </c>
      <c r="D44">
        <v>6.0840001106262198</v>
      </c>
      <c r="E44">
        <v>6.1799796365201498</v>
      </c>
      <c r="F44">
        <v>5.9880205847322898</v>
      </c>
      <c r="G44">
        <v>1.29121541976929</v>
      </c>
      <c r="H44">
        <v>1.28464603424072</v>
      </c>
      <c r="I44">
        <v>0.61878442764282204</v>
      </c>
      <c r="J44">
        <v>0.40226498246192899</v>
      </c>
      <c r="K44">
        <v>0.41660892963409402</v>
      </c>
      <c r="L44">
        <v>6.5600708127021803E-2</v>
      </c>
      <c r="M44">
        <v>2.00444889068604</v>
      </c>
      <c r="N44">
        <v>2017</v>
      </c>
    </row>
    <row r="45" spans="2:14" x14ac:dyDescent="0.35">
      <c r="B45" t="s">
        <v>76</v>
      </c>
      <c r="C45">
        <v>43</v>
      </c>
      <c r="D45">
        <v>6.0710000991821298</v>
      </c>
      <c r="E45">
        <v>6.1865836003422698</v>
      </c>
      <c r="F45">
        <v>5.95541659802198</v>
      </c>
      <c r="G45">
        <v>0.737299203872681</v>
      </c>
      <c r="H45">
        <v>1.28721570968628</v>
      </c>
      <c r="I45">
        <v>0.65309596061706499</v>
      </c>
      <c r="J45">
        <v>0.44755184650421098</v>
      </c>
      <c r="K45">
        <v>0.30167421698570301</v>
      </c>
      <c r="L45">
        <v>0.130687981843948</v>
      </c>
      <c r="M45">
        <v>2.5139305591583301</v>
      </c>
      <c r="N45">
        <v>2017</v>
      </c>
    </row>
    <row r="46" spans="2:14" x14ac:dyDescent="0.35">
      <c r="B46" t="s">
        <v>67</v>
      </c>
      <c r="C46">
        <v>44</v>
      </c>
      <c r="D46">
        <v>6.0079998970031703</v>
      </c>
      <c r="E46">
        <v>6.1058476753532904</v>
      </c>
      <c r="F46">
        <v>5.9101521186530599</v>
      </c>
      <c r="G46">
        <v>1.00082039833069</v>
      </c>
      <c r="H46">
        <v>1.2861688137054399</v>
      </c>
      <c r="I46">
        <v>0.68563622236251798</v>
      </c>
      <c r="J46">
        <v>0.45519819855690002</v>
      </c>
      <c r="K46">
        <v>0.150112465023994</v>
      </c>
      <c r="L46">
        <v>0.140134647488594</v>
      </c>
      <c r="M46">
        <v>2.2903525829315199</v>
      </c>
      <c r="N46">
        <v>2017</v>
      </c>
    </row>
    <row r="47" spans="2:14" x14ac:dyDescent="0.35">
      <c r="B47" t="s">
        <v>61</v>
      </c>
      <c r="C47">
        <v>45</v>
      </c>
      <c r="D47">
        <v>6.0029997825622603</v>
      </c>
      <c r="E47">
        <v>6.1086351223289999</v>
      </c>
      <c r="F47">
        <v>5.8973644427955199</v>
      </c>
      <c r="G47">
        <v>0.909784495830536</v>
      </c>
      <c r="H47">
        <v>1.1821250915527299</v>
      </c>
      <c r="I47">
        <v>0.59601855278015103</v>
      </c>
      <c r="J47">
        <v>0.43245252966880798</v>
      </c>
      <c r="K47">
        <v>7.8257985413074493E-2</v>
      </c>
      <c r="L47">
        <v>8.9980959892272894E-2</v>
      </c>
      <c r="M47">
        <v>2.7145938873290998</v>
      </c>
      <c r="N47">
        <v>2017</v>
      </c>
    </row>
    <row r="48" spans="2:14" x14ac:dyDescent="0.35">
      <c r="B48" t="s">
        <v>79</v>
      </c>
      <c r="C48">
        <v>46</v>
      </c>
      <c r="D48">
        <v>5.97300004959106</v>
      </c>
      <c r="E48">
        <v>6.0539083412289596</v>
      </c>
      <c r="F48">
        <v>5.8920917579531702</v>
      </c>
      <c r="G48">
        <v>1.29178786277771</v>
      </c>
      <c r="H48">
        <v>1.44571197032928</v>
      </c>
      <c r="I48">
        <v>0.69947534799575795</v>
      </c>
      <c r="J48">
        <v>0.52034211158752397</v>
      </c>
      <c r="K48">
        <v>0.158465966582298</v>
      </c>
      <c r="L48">
        <v>5.9307806193828597E-2</v>
      </c>
      <c r="M48">
        <v>1.79772281646729</v>
      </c>
      <c r="N48">
        <v>2017</v>
      </c>
    </row>
    <row r="49" spans="2:14" x14ac:dyDescent="0.35">
      <c r="B49" t="s">
        <v>63</v>
      </c>
      <c r="C49">
        <v>47</v>
      </c>
      <c r="D49">
        <v>5.9710001945495597</v>
      </c>
      <c r="E49">
        <v>6.0655375729501202</v>
      </c>
      <c r="F49">
        <v>5.876462816149</v>
      </c>
      <c r="G49">
        <v>0.78644108772277799</v>
      </c>
      <c r="H49">
        <v>1.5489691495895399</v>
      </c>
      <c r="I49">
        <v>0.49827262759208701</v>
      </c>
      <c r="J49">
        <v>0.65824866294860795</v>
      </c>
      <c r="K49">
        <v>0.415983647108078</v>
      </c>
      <c r="L49">
        <v>0.24652822315692899</v>
      </c>
      <c r="M49">
        <v>1.8169136047363299</v>
      </c>
      <c r="N49">
        <v>2017</v>
      </c>
    </row>
    <row r="50" spans="2:14" x14ac:dyDescent="0.35">
      <c r="B50" t="s">
        <v>69</v>
      </c>
      <c r="C50">
        <v>48</v>
      </c>
      <c r="D50">
        <v>5.9640002250671396</v>
      </c>
      <c r="E50">
        <v>6.0427369059622302</v>
      </c>
      <c r="F50">
        <v>5.8852635441720498</v>
      </c>
      <c r="G50">
        <v>1.3950666189193699</v>
      </c>
      <c r="H50">
        <v>1.44492328166962</v>
      </c>
      <c r="I50">
        <v>0.85314434766769398</v>
      </c>
      <c r="J50">
        <v>0.25645071268081698</v>
      </c>
      <c r="K50">
        <v>0.17278964817524001</v>
      </c>
      <c r="L50">
        <v>2.8028091415762901E-2</v>
      </c>
      <c r="M50">
        <v>1.8133120536804199</v>
      </c>
      <c r="N50">
        <v>2017</v>
      </c>
    </row>
    <row r="51" spans="2:14" x14ac:dyDescent="0.35">
      <c r="B51" t="s">
        <v>83</v>
      </c>
      <c r="C51">
        <v>49</v>
      </c>
      <c r="D51">
        <v>5.9629998207092303</v>
      </c>
      <c r="E51">
        <v>6.0302749074995496</v>
      </c>
      <c r="F51">
        <v>5.8957247339189101</v>
      </c>
      <c r="G51">
        <v>1.28177809715271</v>
      </c>
      <c r="H51">
        <v>1.46928238868713</v>
      </c>
      <c r="I51">
        <v>0.547349333763123</v>
      </c>
      <c r="J51">
        <v>0.37378311157226601</v>
      </c>
      <c r="K51">
        <v>5.2263822406530401E-2</v>
      </c>
      <c r="L51">
        <v>3.2962881028652198E-2</v>
      </c>
      <c r="M51">
        <v>2.2056074142456099</v>
      </c>
      <c r="N51">
        <v>2017</v>
      </c>
    </row>
    <row r="52" spans="2:14" x14ac:dyDescent="0.35">
      <c r="B52" t="s">
        <v>208</v>
      </c>
      <c r="C52">
        <v>50</v>
      </c>
      <c r="D52">
        <v>5.9559998512268102</v>
      </c>
      <c r="E52">
        <v>6.1972423177957499</v>
      </c>
      <c r="F52">
        <v>5.7147573846578599</v>
      </c>
      <c r="G52">
        <v>0.90797531604766801</v>
      </c>
      <c r="H52">
        <v>1.0814177989959699</v>
      </c>
      <c r="I52">
        <v>0.45019176602363598</v>
      </c>
      <c r="J52">
        <v>0.54750937223434404</v>
      </c>
      <c r="K52">
        <v>0.24001564085483601</v>
      </c>
      <c r="L52">
        <v>9.6581071615219102E-2</v>
      </c>
      <c r="M52">
        <v>2.6319556236267099</v>
      </c>
      <c r="N52">
        <v>2017</v>
      </c>
    </row>
    <row r="53" spans="2:14" x14ac:dyDescent="0.35">
      <c r="B53" t="s">
        <v>65</v>
      </c>
      <c r="C53">
        <v>51</v>
      </c>
      <c r="D53">
        <v>5.9200000762939498</v>
      </c>
      <c r="E53">
        <v>5.9907194446027301</v>
      </c>
      <c r="F53">
        <v>5.8492807079851596</v>
      </c>
      <c r="G53">
        <v>1.41691517829895</v>
      </c>
      <c r="H53">
        <v>1.4363378286361701</v>
      </c>
      <c r="I53">
        <v>0.91347587108612105</v>
      </c>
      <c r="J53">
        <v>0.50562554597854603</v>
      </c>
      <c r="K53">
        <v>0.12057276815176</v>
      </c>
      <c r="L53">
        <v>0.163760736584663</v>
      </c>
      <c r="M53">
        <v>1.3632235527038601</v>
      </c>
      <c r="N53">
        <v>2017</v>
      </c>
    </row>
    <row r="54" spans="2:14" x14ac:dyDescent="0.35">
      <c r="B54" t="s">
        <v>75</v>
      </c>
      <c r="C54">
        <v>52</v>
      </c>
      <c r="D54">
        <v>5.90199995040894</v>
      </c>
      <c r="E54">
        <v>5.9826696413755398</v>
      </c>
      <c r="F54">
        <v>5.8213302594423304</v>
      </c>
      <c r="G54">
        <v>1.3145823478698699</v>
      </c>
      <c r="H54">
        <v>1.47351610660553</v>
      </c>
      <c r="I54">
        <v>0.62894994020462003</v>
      </c>
      <c r="J54">
        <v>0.23423178493976601</v>
      </c>
      <c r="K54">
        <v>1.0164656676352E-2</v>
      </c>
      <c r="L54">
        <v>1.18656428530812E-2</v>
      </c>
      <c r="M54">
        <v>2.2284405231475799</v>
      </c>
      <c r="N54">
        <v>2017</v>
      </c>
    </row>
    <row r="55" spans="2:14" x14ac:dyDescent="0.35">
      <c r="B55" t="s">
        <v>87</v>
      </c>
      <c r="C55">
        <v>53</v>
      </c>
      <c r="D55">
        <v>5.8720002174377397</v>
      </c>
      <c r="E55">
        <v>5.9782864336669403</v>
      </c>
      <c r="F55">
        <v>5.7657140012085399</v>
      </c>
      <c r="G55">
        <v>1.09186446666718</v>
      </c>
      <c r="H55">
        <v>1.1462174654007</v>
      </c>
      <c r="I55">
        <v>0.61758464574813798</v>
      </c>
      <c r="J55">
        <v>0.23333580791950201</v>
      </c>
      <c r="K55">
        <v>6.9436646997928606E-2</v>
      </c>
      <c r="L55">
        <v>0.14609611034393299</v>
      </c>
      <c r="M55">
        <v>2.5676038265228298</v>
      </c>
      <c r="N55">
        <v>2017</v>
      </c>
    </row>
    <row r="56" spans="2:14" x14ac:dyDescent="0.35">
      <c r="B56" t="s">
        <v>110</v>
      </c>
      <c r="C56">
        <v>54</v>
      </c>
      <c r="D56">
        <v>5.8499999046325701</v>
      </c>
      <c r="E56">
        <v>5.9202635382115796</v>
      </c>
      <c r="F56">
        <v>5.77973627105355</v>
      </c>
      <c r="G56">
        <v>1.26074862480164</v>
      </c>
      <c r="H56">
        <v>1.4047149419784499</v>
      </c>
      <c r="I56">
        <v>0.63856697082519498</v>
      </c>
      <c r="J56">
        <v>0.32570791244506803</v>
      </c>
      <c r="K56">
        <v>0.153074786067009</v>
      </c>
      <c r="L56">
        <v>7.3842726647853907E-2</v>
      </c>
      <c r="M56">
        <v>1.9936552047729501</v>
      </c>
      <c r="N56">
        <v>2017</v>
      </c>
    </row>
    <row r="57" spans="2:14" x14ac:dyDescent="0.35">
      <c r="B57" t="s">
        <v>66</v>
      </c>
      <c r="C57">
        <v>55</v>
      </c>
      <c r="D57">
        <v>5.8379998207092303</v>
      </c>
      <c r="E57">
        <v>5.9225590282678597</v>
      </c>
      <c r="F57">
        <v>5.7534406131506</v>
      </c>
      <c r="G57">
        <v>1.40167844295502</v>
      </c>
      <c r="H57">
        <v>1.12827444076538</v>
      </c>
      <c r="I57">
        <v>0.90021407604217496</v>
      </c>
      <c r="J57">
        <v>0.25792166590690602</v>
      </c>
      <c r="K57">
        <v>0.20667436718940699</v>
      </c>
      <c r="L57">
        <v>6.3282668590545696E-2</v>
      </c>
      <c r="M57">
        <v>1.8803780078887899</v>
      </c>
      <c r="N57">
        <v>2017</v>
      </c>
    </row>
    <row r="58" spans="2:14" x14ac:dyDescent="0.35">
      <c r="B58" t="s">
        <v>71</v>
      </c>
      <c r="C58">
        <v>56</v>
      </c>
      <c r="D58">
        <v>5.8379998207092303</v>
      </c>
      <c r="E58">
        <v>5.90837083846331</v>
      </c>
      <c r="F58">
        <v>5.7676288029551497</v>
      </c>
      <c r="G58">
        <v>0.728870630264282</v>
      </c>
      <c r="H58">
        <v>1.25182557106018</v>
      </c>
      <c r="I58">
        <v>0.58946520090103105</v>
      </c>
      <c r="J58">
        <v>0.24072904884815199</v>
      </c>
      <c r="K58">
        <v>0.208779126405716</v>
      </c>
      <c r="L58">
        <v>1.00912861526012E-2</v>
      </c>
      <c r="M58">
        <v>2.8078083992004399</v>
      </c>
      <c r="N58">
        <v>2017</v>
      </c>
    </row>
    <row r="59" spans="2:14" x14ac:dyDescent="0.35">
      <c r="B59" t="s">
        <v>107</v>
      </c>
      <c r="C59">
        <v>57</v>
      </c>
      <c r="D59">
        <v>5.8249998092651403</v>
      </c>
      <c r="E59">
        <v>5.9196941567957397</v>
      </c>
      <c r="F59">
        <v>5.7303054617345301</v>
      </c>
      <c r="G59">
        <v>1.21768391132355</v>
      </c>
      <c r="H59">
        <v>1.15009129047394</v>
      </c>
      <c r="I59">
        <v>0.68515831232070901</v>
      </c>
      <c r="J59">
        <v>0.45700374245643599</v>
      </c>
      <c r="K59">
        <v>0.133519917726517</v>
      </c>
      <c r="L59">
        <v>4.3879006989300303E-3</v>
      </c>
      <c r="M59">
        <v>2.1768314838409402</v>
      </c>
      <c r="N59">
        <v>2017</v>
      </c>
    </row>
    <row r="60" spans="2:14" x14ac:dyDescent="0.35">
      <c r="B60" t="s">
        <v>70</v>
      </c>
      <c r="C60">
        <v>58</v>
      </c>
      <c r="D60">
        <v>5.8229999542236301</v>
      </c>
      <c r="E60">
        <v>5.9039769025147004</v>
      </c>
      <c r="F60">
        <v>5.7420230059325696</v>
      </c>
      <c r="G60">
        <v>0.83375656604766801</v>
      </c>
      <c r="H60">
        <v>1.2276190519332899</v>
      </c>
      <c r="I60">
        <v>0.47363024950027499</v>
      </c>
      <c r="J60">
        <v>0.55873292684555098</v>
      </c>
      <c r="K60">
        <v>0.22556072473526001</v>
      </c>
      <c r="L60">
        <v>6.0477726161479901E-2</v>
      </c>
      <c r="M60">
        <v>2.4432790279388401</v>
      </c>
      <c r="N60">
        <v>2017</v>
      </c>
    </row>
    <row r="61" spans="2:14" x14ac:dyDescent="0.35">
      <c r="B61" t="s">
        <v>89</v>
      </c>
      <c r="C61">
        <v>59</v>
      </c>
      <c r="D61">
        <v>5.82200002670288</v>
      </c>
      <c r="E61">
        <v>5.8851808755099801</v>
      </c>
      <c r="F61">
        <v>5.7588191778957798</v>
      </c>
      <c r="G61">
        <v>1.13077676296234</v>
      </c>
      <c r="H61">
        <v>1.4931491613388099</v>
      </c>
      <c r="I61">
        <v>0.437726080417633</v>
      </c>
      <c r="J61">
        <v>0.41827192902565002</v>
      </c>
      <c r="K61">
        <v>0.24992498755455</v>
      </c>
      <c r="L61">
        <v>0.259270340204239</v>
      </c>
      <c r="M61">
        <v>1.8329098224639899</v>
      </c>
      <c r="N61">
        <v>2017</v>
      </c>
    </row>
    <row r="62" spans="2:14" x14ac:dyDescent="0.35">
      <c r="B62" t="s">
        <v>73</v>
      </c>
      <c r="C62">
        <v>60</v>
      </c>
      <c r="D62">
        <v>5.8189997673034703</v>
      </c>
      <c r="E62">
        <v>5.9036417746543899</v>
      </c>
      <c r="F62">
        <v>5.7343577599525499</v>
      </c>
      <c r="G62">
        <v>1.28455626964569</v>
      </c>
      <c r="H62">
        <v>1.3843690156936601</v>
      </c>
      <c r="I62">
        <v>0.60604155063629195</v>
      </c>
      <c r="J62">
        <v>0.437454283237457</v>
      </c>
      <c r="K62">
        <v>0.20196442306041701</v>
      </c>
      <c r="L62">
        <v>0.119282886385918</v>
      </c>
      <c r="M62">
        <v>1.7848925590515099</v>
      </c>
      <c r="N62">
        <v>2017</v>
      </c>
    </row>
    <row r="63" spans="2:14" x14ac:dyDescent="0.35">
      <c r="B63" t="s">
        <v>85</v>
      </c>
      <c r="C63">
        <v>61</v>
      </c>
      <c r="D63">
        <v>5.8099999427795401</v>
      </c>
      <c r="E63">
        <v>5.8973664648830901</v>
      </c>
      <c r="F63">
        <v>5.7226334206759901</v>
      </c>
      <c r="G63">
        <v>1.3469113111496001</v>
      </c>
      <c r="H63">
        <v>1.1863033771514899</v>
      </c>
      <c r="I63">
        <v>0.83464723825454701</v>
      </c>
      <c r="J63">
        <v>0.47120362520217901</v>
      </c>
      <c r="K63">
        <v>0.266845703125</v>
      </c>
      <c r="L63">
        <v>0.15535335242748299</v>
      </c>
      <c r="M63">
        <v>1.5491576194763199</v>
      </c>
      <c r="N63">
        <v>2017</v>
      </c>
    </row>
    <row r="64" spans="2:14" x14ac:dyDescent="0.35">
      <c r="B64" t="s">
        <v>74</v>
      </c>
      <c r="C64">
        <v>62</v>
      </c>
      <c r="D64">
        <v>5.7579998970031703</v>
      </c>
      <c r="E64">
        <v>5.8422251600027097</v>
      </c>
      <c r="F64">
        <v>5.6737746340036397</v>
      </c>
      <c r="G64">
        <v>1.3412059545517001</v>
      </c>
      <c r="H64">
        <v>1.4525188207626301</v>
      </c>
      <c r="I64">
        <v>0.79082822799682595</v>
      </c>
      <c r="J64">
        <v>0.57257580757141102</v>
      </c>
      <c r="K64">
        <v>0.24264909327030201</v>
      </c>
      <c r="L64">
        <v>4.5128978788852699E-2</v>
      </c>
      <c r="M64">
        <v>1.3133172988891599</v>
      </c>
      <c r="N64">
        <v>2017</v>
      </c>
    </row>
    <row r="65" spans="2:14" x14ac:dyDescent="0.35">
      <c r="B65" t="s">
        <v>77</v>
      </c>
      <c r="C65">
        <v>63</v>
      </c>
      <c r="D65">
        <v>5.7150001525878897</v>
      </c>
      <c r="E65">
        <v>5.8119467785954502</v>
      </c>
      <c r="F65">
        <v>5.6180535265803302</v>
      </c>
      <c r="G65">
        <v>1.0352252721786499</v>
      </c>
      <c r="H65">
        <v>1.2187703847885101</v>
      </c>
      <c r="I65">
        <v>0.63016611337661699</v>
      </c>
      <c r="J65">
        <v>0.45000287890434298</v>
      </c>
      <c r="K65">
        <v>0.12681971490383101</v>
      </c>
      <c r="L65">
        <v>4.7049086540937403E-2</v>
      </c>
      <c r="M65">
        <v>2.2072694301605198</v>
      </c>
      <c r="N65">
        <v>2017</v>
      </c>
    </row>
    <row r="66" spans="2:14" x14ac:dyDescent="0.35">
      <c r="B66" t="s">
        <v>90</v>
      </c>
      <c r="C66">
        <v>64</v>
      </c>
      <c r="D66">
        <v>5.6290001869201696</v>
      </c>
      <c r="E66">
        <v>5.72986219167709</v>
      </c>
      <c r="F66">
        <v>5.5281381821632403</v>
      </c>
      <c r="G66">
        <v>1.1893955469131501</v>
      </c>
      <c r="H66">
        <v>1.20956099033356</v>
      </c>
      <c r="I66">
        <v>0.63800746202468905</v>
      </c>
      <c r="J66">
        <v>0.49124732613563499</v>
      </c>
      <c r="K66">
        <v>0.36093375086784402</v>
      </c>
      <c r="L66">
        <v>4.2181555181741701E-2</v>
      </c>
      <c r="M66">
        <v>1.6975839138030999</v>
      </c>
      <c r="N66">
        <v>2017</v>
      </c>
    </row>
    <row r="67" spans="2:14" x14ac:dyDescent="0.35">
      <c r="B67" t="s">
        <v>86</v>
      </c>
      <c r="C67">
        <v>65</v>
      </c>
      <c r="D67">
        <v>5.6209998130798304</v>
      </c>
      <c r="E67">
        <v>5.7146926993131597</v>
      </c>
      <c r="F67">
        <v>5.5273069268465003</v>
      </c>
      <c r="G67">
        <v>1.3559380769729601</v>
      </c>
      <c r="H67">
        <v>1.13136327266693</v>
      </c>
      <c r="I67">
        <v>0.84471470117569003</v>
      </c>
      <c r="J67">
        <v>0.35511153936386097</v>
      </c>
      <c r="K67">
        <v>0.27125430107116699</v>
      </c>
      <c r="L67">
        <v>4.1237976402044303E-2</v>
      </c>
      <c r="M67">
        <v>1.62124919891357</v>
      </c>
      <c r="N67">
        <v>2017</v>
      </c>
    </row>
    <row r="68" spans="2:14" x14ac:dyDescent="0.35">
      <c r="B68" t="s">
        <v>93</v>
      </c>
      <c r="C68">
        <v>66</v>
      </c>
      <c r="D68">
        <v>5.6110000610351598</v>
      </c>
      <c r="E68">
        <v>5.6881398741900897</v>
      </c>
      <c r="F68">
        <v>5.5338602478802201</v>
      </c>
      <c r="G68">
        <v>1.32087934017181</v>
      </c>
      <c r="H68">
        <v>1.4766710996627801</v>
      </c>
      <c r="I68">
        <v>0.695168316364288</v>
      </c>
      <c r="J68">
        <v>0.479131430387497</v>
      </c>
      <c r="K68">
        <v>9.8890811204910306E-2</v>
      </c>
      <c r="L68">
        <v>0.183248922228813</v>
      </c>
      <c r="M68">
        <v>1.3575086593627901</v>
      </c>
      <c r="N68">
        <v>2017</v>
      </c>
    </row>
    <row r="69" spans="2:14" x14ac:dyDescent="0.35">
      <c r="B69" t="s">
        <v>78</v>
      </c>
      <c r="C69">
        <v>67</v>
      </c>
      <c r="D69">
        <v>5.5689997673034703</v>
      </c>
      <c r="E69">
        <v>5.6461142440140204</v>
      </c>
      <c r="F69">
        <v>5.4918852905929096</v>
      </c>
      <c r="G69">
        <v>1.1565575599670399</v>
      </c>
      <c r="H69">
        <v>1.44494521617889</v>
      </c>
      <c r="I69">
        <v>0.63771426677703902</v>
      </c>
      <c r="J69">
        <v>0.29540026187896701</v>
      </c>
      <c r="K69">
        <v>0.15513750910759</v>
      </c>
      <c r="L69">
        <v>0.156313821673393</v>
      </c>
      <c r="M69">
        <v>1.72323298454285</v>
      </c>
      <c r="N69">
        <v>2017</v>
      </c>
    </row>
    <row r="70" spans="2:14" x14ac:dyDescent="0.35">
      <c r="B70" t="s">
        <v>82</v>
      </c>
      <c r="C70">
        <v>68</v>
      </c>
      <c r="D70">
        <v>5.5250000953674299</v>
      </c>
      <c r="E70">
        <v>5.6769538068771404</v>
      </c>
      <c r="F70">
        <v>5.37304638385773</v>
      </c>
      <c r="G70">
        <v>1.1018030643463099</v>
      </c>
      <c r="H70">
        <v>1.3575643301010101</v>
      </c>
      <c r="I70">
        <v>0.52016901969909701</v>
      </c>
      <c r="J70">
        <v>0.46573323011398299</v>
      </c>
      <c r="K70">
        <v>0.15207366645336201</v>
      </c>
      <c r="L70">
        <v>9.2610210180282607E-2</v>
      </c>
      <c r="M70">
        <v>1.83501124382019</v>
      </c>
      <c r="N70">
        <v>2017</v>
      </c>
    </row>
    <row r="71" spans="2:14" x14ac:dyDescent="0.35">
      <c r="B71" t="s">
        <v>96</v>
      </c>
      <c r="C71">
        <v>69</v>
      </c>
      <c r="D71">
        <v>5.5</v>
      </c>
      <c r="E71">
        <v>5.5948649632930803</v>
      </c>
      <c r="F71">
        <v>5.4051350367069197</v>
      </c>
      <c r="G71">
        <v>1.19827437400818</v>
      </c>
      <c r="H71">
        <v>1.3377531766891499</v>
      </c>
      <c r="I71">
        <v>0.63760560750961304</v>
      </c>
      <c r="J71">
        <v>0.30074059963226302</v>
      </c>
      <c r="K71">
        <v>4.6693041920661899E-2</v>
      </c>
      <c r="L71">
        <v>9.9671579897403703E-2</v>
      </c>
      <c r="M71">
        <v>1.87927794456482</v>
      </c>
      <c r="N71">
        <v>2017</v>
      </c>
    </row>
    <row r="72" spans="2:14" x14ac:dyDescent="0.35">
      <c r="B72" t="s">
        <v>72</v>
      </c>
      <c r="C72">
        <v>70</v>
      </c>
      <c r="D72">
        <v>5.4930000305175799</v>
      </c>
      <c r="E72">
        <v>5.5773812696337703</v>
      </c>
      <c r="F72">
        <v>5.4086187914013903</v>
      </c>
      <c r="G72">
        <v>0.93253731727600098</v>
      </c>
      <c r="H72">
        <v>1.50728487968445</v>
      </c>
      <c r="I72">
        <v>0.57925069332122803</v>
      </c>
      <c r="J72">
        <v>0.47350779175758401</v>
      </c>
      <c r="K72">
        <v>0.22415065765380901</v>
      </c>
      <c r="L72">
        <v>9.1065913438796997E-2</v>
      </c>
      <c r="M72">
        <v>1.6853334903717001</v>
      </c>
      <c r="N72">
        <v>2017</v>
      </c>
    </row>
    <row r="73" spans="2:14" x14ac:dyDescent="0.35">
      <c r="B73" t="s">
        <v>222</v>
      </c>
      <c r="C73">
        <v>71</v>
      </c>
      <c r="D73">
        <v>5.4720001220703098</v>
      </c>
      <c r="E73">
        <v>5.5495941731333698</v>
      </c>
      <c r="F73">
        <v>5.3944060710072499</v>
      </c>
      <c r="G73">
        <v>1.55167484283447</v>
      </c>
      <c r="H73">
        <v>1.2627909183502199</v>
      </c>
      <c r="I73">
        <v>0.943062424659729</v>
      </c>
      <c r="J73">
        <v>0.49096864461898798</v>
      </c>
      <c r="K73">
        <v>0.37446579337120101</v>
      </c>
      <c r="L73">
        <v>0.29393374919891402</v>
      </c>
      <c r="M73">
        <v>0.55463314056396495</v>
      </c>
      <c r="N73">
        <v>2017</v>
      </c>
    </row>
    <row r="74" spans="2:14" x14ac:dyDescent="0.35">
      <c r="B74" t="s">
        <v>111</v>
      </c>
      <c r="C74">
        <v>72</v>
      </c>
      <c r="D74">
        <v>5.4299998283386204</v>
      </c>
      <c r="E74">
        <v>5.5453350542485698</v>
      </c>
      <c r="F74">
        <v>5.3146646024286701</v>
      </c>
      <c r="G74">
        <v>0.85769921541214</v>
      </c>
      <c r="H74">
        <v>1.25391757488251</v>
      </c>
      <c r="I74">
        <v>0.46800905466079701</v>
      </c>
      <c r="J74">
        <v>0.58521467447280895</v>
      </c>
      <c r="K74">
        <v>0.193513423204422</v>
      </c>
      <c r="L74">
        <v>9.9331893026828794E-2</v>
      </c>
      <c r="M74">
        <v>1.9726047515869101</v>
      </c>
      <c r="N74">
        <v>2017</v>
      </c>
    </row>
    <row r="75" spans="2:14" x14ac:dyDescent="0.35">
      <c r="B75" t="s">
        <v>108</v>
      </c>
      <c r="C75">
        <v>73</v>
      </c>
      <c r="D75">
        <v>5.3949999809265101</v>
      </c>
      <c r="E75">
        <v>5.4915696561336498</v>
      </c>
      <c r="F75">
        <v>5.2984303057193802</v>
      </c>
      <c r="G75">
        <v>1.0693175792694101</v>
      </c>
      <c r="H75">
        <v>1.25818979740143</v>
      </c>
      <c r="I75">
        <v>0.65078467130661</v>
      </c>
      <c r="J75">
        <v>0.20871552824974099</v>
      </c>
      <c r="K75">
        <v>0.22012588381767301</v>
      </c>
      <c r="L75">
        <v>4.0903780609369299E-2</v>
      </c>
      <c r="M75">
        <v>1.9470844268798799</v>
      </c>
      <c r="N75">
        <v>2017</v>
      </c>
    </row>
    <row r="76" spans="2:14" x14ac:dyDescent="0.35">
      <c r="B76" t="s">
        <v>103</v>
      </c>
      <c r="C76">
        <v>74</v>
      </c>
      <c r="D76">
        <v>5.3359999656677202</v>
      </c>
      <c r="E76">
        <v>5.4484100224077698</v>
      </c>
      <c r="F76">
        <v>5.2235899089276803</v>
      </c>
      <c r="G76">
        <v>0.99101239442825295</v>
      </c>
      <c r="H76">
        <v>1.2390888929367101</v>
      </c>
      <c r="I76">
        <v>0.60459005832672097</v>
      </c>
      <c r="J76">
        <v>0.41842114925384499</v>
      </c>
      <c r="K76">
        <v>0.172170460224152</v>
      </c>
      <c r="L76">
        <v>0.11980327218771</v>
      </c>
      <c r="M76">
        <v>1.79117655754089</v>
      </c>
      <c r="N76">
        <v>2017</v>
      </c>
    </row>
    <row r="77" spans="2:14" x14ac:dyDescent="0.35">
      <c r="B77" t="s">
        <v>125</v>
      </c>
      <c r="C77">
        <v>75</v>
      </c>
      <c r="D77">
        <v>5.3239998817443803</v>
      </c>
      <c r="E77">
        <v>5.4030397091805904</v>
      </c>
      <c r="F77">
        <v>5.24496005430818</v>
      </c>
      <c r="G77">
        <v>1.2860119342803999</v>
      </c>
      <c r="H77">
        <v>1.34313309192657</v>
      </c>
      <c r="I77">
        <v>0.687763452529907</v>
      </c>
      <c r="J77">
        <v>0.17586351931095101</v>
      </c>
      <c r="K77">
        <v>7.84016624093056E-2</v>
      </c>
      <c r="L77">
        <v>3.66369374096394E-2</v>
      </c>
      <c r="M77">
        <v>1.71645927429199</v>
      </c>
      <c r="N77">
        <v>2017</v>
      </c>
    </row>
    <row r="78" spans="2:14" x14ac:dyDescent="0.35">
      <c r="B78" t="s">
        <v>84</v>
      </c>
      <c r="C78">
        <v>76</v>
      </c>
      <c r="D78">
        <v>5.3109998703002903</v>
      </c>
      <c r="E78">
        <v>5.5813987284898801</v>
      </c>
      <c r="F78">
        <v>5.0406010121107103</v>
      </c>
      <c r="G78">
        <v>0.92557930946350098</v>
      </c>
      <c r="H78">
        <v>1.3682180643081701</v>
      </c>
      <c r="I78">
        <v>0.64102238416671797</v>
      </c>
      <c r="J78">
        <v>0.47430723905563399</v>
      </c>
      <c r="K78">
        <v>0.23381833732128099</v>
      </c>
      <c r="L78">
        <v>5.5267781019210802E-2</v>
      </c>
      <c r="M78">
        <v>1.61232566833496</v>
      </c>
      <c r="N78">
        <v>2017</v>
      </c>
    </row>
    <row r="79" spans="2:14" x14ac:dyDescent="0.35">
      <c r="B79" t="s">
        <v>81</v>
      </c>
      <c r="C79">
        <v>77</v>
      </c>
      <c r="D79">
        <v>5.2930002212524396</v>
      </c>
      <c r="E79">
        <v>5.3917772045731498</v>
      </c>
      <c r="F79">
        <v>5.1942232379317304</v>
      </c>
      <c r="G79">
        <v>1.22255623340607</v>
      </c>
      <c r="H79">
        <v>0.96798300743103005</v>
      </c>
      <c r="I79">
        <v>0.701288521289825</v>
      </c>
      <c r="J79">
        <v>0.25577229261398299</v>
      </c>
      <c r="K79">
        <v>0.24800297617912301</v>
      </c>
      <c r="L79">
        <v>4.3103110045194598E-2</v>
      </c>
      <c r="M79">
        <v>1.85449242591858</v>
      </c>
      <c r="N79">
        <v>2017</v>
      </c>
    </row>
    <row r="80" spans="2:14" x14ac:dyDescent="0.35">
      <c r="B80" t="s">
        <v>88</v>
      </c>
      <c r="C80">
        <v>78</v>
      </c>
      <c r="D80">
        <v>5.2789998054504403</v>
      </c>
      <c r="E80">
        <v>5.36484799548984</v>
      </c>
      <c r="F80">
        <v>5.1931516154110398</v>
      </c>
      <c r="G80">
        <v>0.95148438215255704</v>
      </c>
      <c r="H80">
        <v>1.1378535032272299</v>
      </c>
      <c r="I80">
        <v>0.54145205020904497</v>
      </c>
      <c r="J80">
        <v>0.26028794050216703</v>
      </c>
      <c r="K80">
        <v>0.31993144750595098</v>
      </c>
      <c r="L80">
        <v>5.7471618056297302E-2</v>
      </c>
      <c r="M80">
        <v>2.0105407238006601</v>
      </c>
      <c r="N80">
        <v>2017</v>
      </c>
    </row>
    <row r="81" spans="2:14" x14ac:dyDescent="0.35">
      <c r="B81" t="s">
        <v>105</v>
      </c>
      <c r="C81">
        <v>79</v>
      </c>
      <c r="D81">
        <v>5.2729997634887704</v>
      </c>
      <c r="E81">
        <v>5.3192780897766303</v>
      </c>
      <c r="F81">
        <v>5.2267214372008999</v>
      </c>
      <c r="G81">
        <v>1.08116579055786</v>
      </c>
      <c r="H81">
        <v>1.1608374118804901</v>
      </c>
      <c r="I81">
        <v>0.74141550064086903</v>
      </c>
      <c r="J81">
        <v>0.47278770804405201</v>
      </c>
      <c r="K81">
        <v>2.8806841000914601E-2</v>
      </c>
      <c r="L81">
        <v>2.2794274613261199E-2</v>
      </c>
      <c r="M81">
        <v>1.7649385929107699</v>
      </c>
      <c r="N81">
        <v>2017</v>
      </c>
    </row>
    <row r="82" spans="2:14" x14ac:dyDescent="0.35">
      <c r="B82" t="s">
        <v>102</v>
      </c>
      <c r="C82">
        <v>80</v>
      </c>
      <c r="D82">
        <v>5.2690000534057599</v>
      </c>
      <c r="E82">
        <v>5.3599836413562301</v>
      </c>
      <c r="F82">
        <v>5.1780164654552898</v>
      </c>
      <c r="G82">
        <v>0.72688353061676003</v>
      </c>
      <c r="H82">
        <v>0.672690689563751</v>
      </c>
      <c r="I82">
        <v>0.40204778313636802</v>
      </c>
      <c r="J82">
        <v>0.23521526157855999</v>
      </c>
      <c r="K82">
        <v>0.31544601917266801</v>
      </c>
      <c r="L82">
        <v>0.124348066747189</v>
      </c>
      <c r="M82">
        <v>2.7924892902374299</v>
      </c>
      <c r="N82">
        <v>2017</v>
      </c>
    </row>
    <row r="83" spans="2:14" x14ac:dyDescent="0.35">
      <c r="B83" t="s">
        <v>94</v>
      </c>
      <c r="C83">
        <v>81</v>
      </c>
      <c r="D83">
        <v>5.2620000839233398</v>
      </c>
      <c r="E83">
        <v>5.3528885981440499</v>
      </c>
      <c r="F83">
        <v>5.1711115697026298</v>
      </c>
      <c r="G83">
        <v>0.99553859233856201</v>
      </c>
      <c r="H83">
        <v>1.2744446992874101</v>
      </c>
      <c r="I83">
        <v>0.492345720529556</v>
      </c>
      <c r="J83">
        <v>0.44332346320152299</v>
      </c>
      <c r="K83">
        <v>0.61170458793640103</v>
      </c>
      <c r="L83">
        <v>1.5317135490477101E-2</v>
      </c>
      <c r="M83">
        <v>1.42947697639465</v>
      </c>
      <c r="N83">
        <v>2017</v>
      </c>
    </row>
    <row r="84" spans="2:14" x14ac:dyDescent="0.35">
      <c r="B84" t="s">
        <v>39</v>
      </c>
      <c r="C84">
        <v>82</v>
      </c>
      <c r="D84">
        <v>5.25</v>
      </c>
      <c r="E84">
        <v>5.3700319455564003</v>
      </c>
      <c r="F84">
        <v>5.1299680544435997</v>
      </c>
      <c r="G84">
        <v>1.1284312009811399</v>
      </c>
      <c r="H84">
        <v>1.4313375949859599</v>
      </c>
      <c r="I84">
        <v>0.61714422702789296</v>
      </c>
      <c r="J84">
        <v>0.153997123241425</v>
      </c>
      <c r="K84">
        <v>6.5019629895687103E-2</v>
      </c>
      <c r="L84">
        <v>6.4491122961044298E-2</v>
      </c>
      <c r="M84">
        <v>1.7894637584686299</v>
      </c>
      <c r="N84">
        <v>2017</v>
      </c>
    </row>
    <row r="85" spans="2:14" x14ac:dyDescent="0.35">
      <c r="B85" t="s">
        <v>104</v>
      </c>
      <c r="C85">
        <v>83</v>
      </c>
      <c r="D85">
        <v>5.23699998855591</v>
      </c>
      <c r="E85">
        <v>5.3410444405674902</v>
      </c>
      <c r="F85">
        <v>5.13295553654432</v>
      </c>
      <c r="G85">
        <v>1.1211290359497099</v>
      </c>
      <c r="H85">
        <v>1.23837649822235</v>
      </c>
      <c r="I85">
        <v>0.66746467351913497</v>
      </c>
      <c r="J85">
        <v>0.19498905539512601</v>
      </c>
      <c r="K85">
        <v>0.19791102409362801</v>
      </c>
      <c r="L85">
        <v>8.8174194097518893E-2</v>
      </c>
      <c r="M85">
        <v>1.72919154167175</v>
      </c>
      <c r="N85">
        <v>2017</v>
      </c>
    </row>
    <row r="86" spans="2:14" x14ac:dyDescent="0.35">
      <c r="B86" t="s">
        <v>113</v>
      </c>
      <c r="C86">
        <v>84</v>
      </c>
      <c r="D86">
        <v>5.2350001335143999</v>
      </c>
      <c r="E86">
        <v>5.31834096476436</v>
      </c>
      <c r="F86">
        <v>5.1516593022644503</v>
      </c>
      <c r="G86">
        <v>0.87811458110809304</v>
      </c>
      <c r="H86">
        <v>0.77486443519592296</v>
      </c>
      <c r="I86">
        <v>0.59771066904068004</v>
      </c>
      <c r="J86">
        <v>0.40815833210945102</v>
      </c>
      <c r="K86">
        <v>3.2209955155849498E-2</v>
      </c>
      <c r="L86">
        <v>8.7763182818889604E-2</v>
      </c>
      <c r="M86">
        <v>2.4561893939971902</v>
      </c>
      <c r="N86">
        <v>2017</v>
      </c>
    </row>
    <row r="87" spans="2:14" x14ac:dyDescent="0.35">
      <c r="B87" t="s">
        <v>101</v>
      </c>
      <c r="C87">
        <v>85</v>
      </c>
      <c r="D87">
        <v>5.2340002059936497</v>
      </c>
      <c r="E87">
        <v>5.2992865352332599</v>
      </c>
      <c r="F87">
        <v>5.1687138767540501</v>
      </c>
      <c r="G87">
        <v>1.1536017656326301</v>
      </c>
      <c r="H87">
        <v>1.15240025520325</v>
      </c>
      <c r="I87">
        <v>0.54077577590942405</v>
      </c>
      <c r="J87">
        <v>0.398155838251114</v>
      </c>
      <c r="K87">
        <v>4.5269340276718098E-2</v>
      </c>
      <c r="L87">
        <v>0.18098750710487399</v>
      </c>
      <c r="M87">
        <v>1.7624816894531199</v>
      </c>
      <c r="N87">
        <v>2017</v>
      </c>
    </row>
    <row r="88" spans="2:14" x14ac:dyDescent="0.35">
      <c r="B88" t="s">
        <v>119</v>
      </c>
      <c r="C88">
        <v>86</v>
      </c>
      <c r="D88">
        <v>5.2300000190734899</v>
      </c>
      <c r="E88">
        <v>5.3490608851611601</v>
      </c>
      <c r="F88">
        <v>5.1109391529858099</v>
      </c>
      <c r="G88">
        <v>1.07937383651733</v>
      </c>
      <c r="H88">
        <v>1.40241670608521</v>
      </c>
      <c r="I88">
        <v>0.57487374544143699</v>
      </c>
      <c r="J88">
        <v>0.55258983373642001</v>
      </c>
      <c r="K88">
        <v>0.18696784973144501</v>
      </c>
      <c r="L88">
        <v>0.113945253193378</v>
      </c>
      <c r="M88">
        <v>1.3194651603698699</v>
      </c>
      <c r="N88">
        <v>2017</v>
      </c>
    </row>
    <row r="89" spans="2:14" x14ac:dyDescent="0.35">
      <c r="B89" t="s">
        <v>123</v>
      </c>
      <c r="C89">
        <v>87</v>
      </c>
      <c r="D89">
        <v>5.2270002365112296</v>
      </c>
      <c r="E89">
        <v>5.3252461694180999</v>
      </c>
      <c r="F89">
        <v>5.1287543036043601</v>
      </c>
      <c r="G89">
        <v>1.2894874811172501</v>
      </c>
      <c r="H89">
        <v>1.2394145727157599</v>
      </c>
      <c r="I89">
        <v>0.81019890308380105</v>
      </c>
      <c r="J89">
        <v>9.5731250941753401E-2</v>
      </c>
      <c r="K89">
        <v>0</v>
      </c>
      <c r="L89">
        <v>4.3289776891469997E-2</v>
      </c>
      <c r="M89">
        <v>1.7492215633392301</v>
      </c>
      <c r="N89">
        <v>2017</v>
      </c>
    </row>
    <row r="90" spans="2:14" x14ac:dyDescent="0.35">
      <c r="B90" t="s">
        <v>124</v>
      </c>
      <c r="C90">
        <v>88</v>
      </c>
      <c r="D90">
        <v>5.2249999046325701</v>
      </c>
      <c r="E90">
        <v>5.3188822884857698</v>
      </c>
      <c r="F90">
        <v>5.1311175207793696</v>
      </c>
      <c r="G90">
        <v>1.0749875307083101</v>
      </c>
      <c r="H90">
        <v>1.1296242475509599</v>
      </c>
      <c r="I90">
        <v>0.73508107662200906</v>
      </c>
      <c r="J90">
        <v>0.288515985012054</v>
      </c>
      <c r="K90">
        <v>0.26445075869560197</v>
      </c>
      <c r="L90">
        <v>3.7513829767704003E-2</v>
      </c>
      <c r="M90">
        <v>1.69507384300232</v>
      </c>
      <c r="N90">
        <v>2017</v>
      </c>
    </row>
    <row r="91" spans="2:14" x14ac:dyDescent="0.35">
      <c r="B91" t="s">
        <v>109</v>
      </c>
      <c r="C91">
        <v>89</v>
      </c>
      <c r="D91">
        <v>5.1950001716613796</v>
      </c>
      <c r="E91">
        <v>5.2850417330861097</v>
      </c>
      <c r="F91">
        <v>5.1049586102366504</v>
      </c>
      <c r="G91">
        <v>1.3151752948761</v>
      </c>
      <c r="H91">
        <v>1.36704301834106</v>
      </c>
      <c r="I91">
        <v>0.79584354162216198</v>
      </c>
      <c r="J91">
        <v>0.49846529960632302</v>
      </c>
      <c r="K91">
        <v>9.5102712512016296E-2</v>
      </c>
      <c r="L91">
        <v>1.5869451686739901E-2</v>
      </c>
      <c r="M91">
        <v>1.10768270492554</v>
      </c>
      <c r="N91">
        <v>2017</v>
      </c>
    </row>
    <row r="92" spans="2:14" x14ac:dyDescent="0.35">
      <c r="B92" t="s">
        <v>117</v>
      </c>
      <c r="C92">
        <v>90</v>
      </c>
      <c r="D92">
        <v>5.1820001602172896</v>
      </c>
      <c r="E92">
        <v>5.27633568674326</v>
      </c>
      <c r="F92">
        <v>5.0876646336913103</v>
      </c>
      <c r="G92">
        <v>0.98240941762924205</v>
      </c>
      <c r="H92">
        <v>1.0693359375</v>
      </c>
      <c r="I92">
        <v>0.705186307430267</v>
      </c>
      <c r="J92">
        <v>0.204403176903725</v>
      </c>
      <c r="K92">
        <v>0.32886749505996699</v>
      </c>
      <c r="L92">
        <v>0</v>
      </c>
      <c r="M92">
        <v>1.89217257499695</v>
      </c>
      <c r="N92">
        <v>2017</v>
      </c>
    </row>
    <row r="93" spans="2:14" x14ac:dyDescent="0.35">
      <c r="B93" t="s">
        <v>126</v>
      </c>
      <c r="C93">
        <v>91</v>
      </c>
      <c r="D93">
        <v>5.1810002326965297</v>
      </c>
      <c r="E93">
        <v>5.30158279687166</v>
      </c>
      <c r="F93">
        <v>5.0604176685214002</v>
      </c>
      <c r="G93">
        <v>0.73057311773300204</v>
      </c>
      <c r="H93">
        <v>1.1439449787139899</v>
      </c>
      <c r="I93">
        <v>0.582569479942322</v>
      </c>
      <c r="J93">
        <v>0.34807986021041898</v>
      </c>
      <c r="K93">
        <v>0.23618887364864299</v>
      </c>
      <c r="L93">
        <v>7.3345452547073406E-2</v>
      </c>
      <c r="M93">
        <v>2.0658111572265598</v>
      </c>
      <c r="N93">
        <v>2017</v>
      </c>
    </row>
    <row r="94" spans="2:14" x14ac:dyDescent="0.35">
      <c r="B94" t="s">
        <v>114</v>
      </c>
      <c r="C94">
        <v>92</v>
      </c>
      <c r="D94">
        <v>5.1750001907348597</v>
      </c>
      <c r="E94">
        <v>5.27217263966799</v>
      </c>
      <c r="F94">
        <v>5.0778277418017401</v>
      </c>
      <c r="G94">
        <v>1.0645779371261599</v>
      </c>
      <c r="H94">
        <v>1.2078930139541599</v>
      </c>
      <c r="I94">
        <v>0.64494818449020397</v>
      </c>
      <c r="J94">
        <v>0.32590597867965698</v>
      </c>
      <c r="K94">
        <v>0.25376096367835999</v>
      </c>
      <c r="L94">
        <v>6.0277793556451797E-2</v>
      </c>
      <c r="M94">
        <v>1.6174693107605</v>
      </c>
      <c r="N94">
        <v>2017</v>
      </c>
    </row>
    <row r="95" spans="2:14" x14ac:dyDescent="0.35">
      <c r="B95" t="s">
        <v>209</v>
      </c>
      <c r="C95">
        <v>93</v>
      </c>
      <c r="D95">
        <v>5.15100002288818</v>
      </c>
      <c r="E95">
        <v>5.2424837099015704</v>
      </c>
      <c r="F95">
        <v>5.0595163358748003</v>
      </c>
      <c r="G95">
        <v>2.2643184289336201E-2</v>
      </c>
      <c r="H95">
        <v>0.72115135192871105</v>
      </c>
      <c r="I95">
        <v>0.113989137113094</v>
      </c>
      <c r="J95">
        <v>0.60212695598602295</v>
      </c>
      <c r="K95">
        <v>0.29163131117820701</v>
      </c>
      <c r="L95">
        <v>0.28241032361984297</v>
      </c>
      <c r="M95">
        <v>3.1174845695495601</v>
      </c>
      <c r="N95">
        <v>2017</v>
      </c>
    </row>
    <row r="96" spans="2:14" x14ac:dyDescent="0.35">
      <c r="B96" t="s">
        <v>95</v>
      </c>
      <c r="C96">
        <v>94</v>
      </c>
      <c r="D96">
        <v>5.0739998817443803</v>
      </c>
      <c r="E96">
        <v>5.1472807645797696</v>
      </c>
      <c r="F96">
        <v>5.000718998909</v>
      </c>
      <c r="G96">
        <v>0.78854757547378496</v>
      </c>
      <c r="H96">
        <v>1.2774913311004601</v>
      </c>
      <c r="I96">
        <v>0.652168989181519</v>
      </c>
      <c r="J96">
        <v>0.57105559110641502</v>
      </c>
      <c r="K96">
        <v>0.234968051314354</v>
      </c>
      <c r="L96">
        <v>8.7633237242698697E-2</v>
      </c>
      <c r="M96">
        <v>1.46231865882874</v>
      </c>
      <c r="N96">
        <v>2017</v>
      </c>
    </row>
    <row r="97" spans="2:14" x14ac:dyDescent="0.35">
      <c r="B97" t="s">
        <v>98</v>
      </c>
      <c r="C97">
        <v>95</v>
      </c>
      <c r="D97">
        <v>5.0739998817443803</v>
      </c>
      <c r="E97">
        <v>5.2095001354813597</v>
      </c>
      <c r="F97">
        <v>4.9384996280074098</v>
      </c>
      <c r="G97">
        <v>0.78375625610351596</v>
      </c>
      <c r="H97">
        <v>1.21577048301697</v>
      </c>
      <c r="I97">
        <v>5.6915730237960802E-2</v>
      </c>
      <c r="J97">
        <v>0.39495256543159502</v>
      </c>
      <c r="K97">
        <v>0.23094719648361201</v>
      </c>
      <c r="L97">
        <v>2.61215660721064E-2</v>
      </c>
      <c r="M97">
        <v>2.3653905391693102</v>
      </c>
      <c r="N97">
        <v>2017</v>
      </c>
    </row>
    <row r="98" spans="2:14" x14ac:dyDescent="0.35">
      <c r="B98" t="s">
        <v>127</v>
      </c>
      <c r="C98">
        <v>96</v>
      </c>
      <c r="D98">
        <v>5.0409998893737802</v>
      </c>
      <c r="E98">
        <v>5.1114255958795596</v>
      </c>
      <c r="F98">
        <v>4.9705741828679999</v>
      </c>
      <c r="G98">
        <v>0.524713635444641</v>
      </c>
      <c r="H98">
        <v>1.27146327495575</v>
      </c>
      <c r="I98">
        <v>0.52923512458801303</v>
      </c>
      <c r="J98">
        <v>0.47156670689582803</v>
      </c>
      <c r="K98">
        <v>0.24899764358997301</v>
      </c>
      <c r="L98">
        <v>0.14637714624404899</v>
      </c>
      <c r="M98">
        <v>1.84904932975769</v>
      </c>
      <c r="N98">
        <v>2017</v>
      </c>
    </row>
    <row r="99" spans="2:14" x14ac:dyDescent="0.35">
      <c r="B99" t="s">
        <v>99</v>
      </c>
      <c r="C99">
        <v>97</v>
      </c>
      <c r="D99">
        <v>5.0110001564025897</v>
      </c>
      <c r="E99">
        <v>5.0793345621228196</v>
      </c>
      <c r="F99">
        <v>4.9426657506823499</v>
      </c>
      <c r="G99">
        <v>0.88541638851165805</v>
      </c>
      <c r="H99">
        <v>1.34012651443481</v>
      </c>
      <c r="I99">
        <v>0.49587929248809798</v>
      </c>
      <c r="J99">
        <v>0.50153768062591597</v>
      </c>
      <c r="K99">
        <v>0.474054545164108</v>
      </c>
      <c r="L99">
        <v>0.17338038980960799</v>
      </c>
      <c r="M99">
        <v>1.1401844024658201</v>
      </c>
      <c r="N99">
        <v>2017</v>
      </c>
    </row>
    <row r="100" spans="2:14" x14ac:dyDescent="0.35">
      <c r="B100" t="s">
        <v>97</v>
      </c>
      <c r="C100">
        <v>98</v>
      </c>
      <c r="D100">
        <v>5.0040001869201696</v>
      </c>
      <c r="E100">
        <v>5.0899199031293403</v>
      </c>
      <c r="F100">
        <v>4.91808047071099</v>
      </c>
      <c r="G100">
        <v>0.59622007608413696</v>
      </c>
      <c r="H100">
        <v>1.3942385911941499</v>
      </c>
      <c r="I100">
        <v>0.55345779657363903</v>
      </c>
      <c r="J100">
        <v>0.45494338870048501</v>
      </c>
      <c r="K100">
        <v>0.42858037352562001</v>
      </c>
      <c r="L100">
        <v>3.9439179003238699E-2</v>
      </c>
      <c r="M100">
        <v>1.5367231369018599</v>
      </c>
      <c r="N100">
        <v>2017</v>
      </c>
    </row>
    <row r="101" spans="2:14" x14ac:dyDescent="0.35">
      <c r="B101" t="s">
        <v>142</v>
      </c>
      <c r="C101">
        <v>99</v>
      </c>
      <c r="D101">
        <v>4.9619998931884801</v>
      </c>
      <c r="E101">
        <v>5.0673560793697803</v>
      </c>
      <c r="F101">
        <v>4.8566437070071702</v>
      </c>
      <c r="G101">
        <v>0.47982019186019897</v>
      </c>
      <c r="H101">
        <v>1.17928326129913</v>
      </c>
      <c r="I101">
        <v>0.50413078069686901</v>
      </c>
      <c r="J101">
        <v>0.44030594825744601</v>
      </c>
      <c r="K101">
        <v>0.39409616589546198</v>
      </c>
      <c r="L101">
        <v>7.2975546121597304E-2</v>
      </c>
      <c r="M101">
        <v>1.8912410736084</v>
      </c>
      <c r="N101">
        <v>2017</v>
      </c>
    </row>
    <row r="102" spans="2:14" x14ac:dyDescent="0.35">
      <c r="B102" t="s">
        <v>121</v>
      </c>
      <c r="C102">
        <v>100</v>
      </c>
      <c r="D102">
        <v>4.9549999237060502</v>
      </c>
      <c r="E102">
        <v>5.0216795091330999</v>
      </c>
      <c r="F102">
        <v>4.8883203382790104</v>
      </c>
      <c r="G102">
        <v>1.0272358655929601</v>
      </c>
      <c r="H102">
        <v>1.4930112361907999</v>
      </c>
      <c r="I102">
        <v>0.55778348445892301</v>
      </c>
      <c r="J102">
        <v>0.39414396882057201</v>
      </c>
      <c r="K102">
        <v>0.33846423029899603</v>
      </c>
      <c r="L102">
        <v>3.2902289181947701E-2</v>
      </c>
      <c r="M102">
        <v>1.1112923622131301</v>
      </c>
      <c r="N102">
        <v>2017</v>
      </c>
    </row>
    <row r="103" spans="2:14" x14ac:dyDescent="0.35">
      <c r="B103" t="s">
        <v>134</v>
      </c>
      <c r="C103">
        <v>101</v>
      </c>
      <c r="D103">
        <v>4.8289999961853001</v>
      </c>
      <c r="E103">
        <v>4.9294351877272096</v>
      </c>
      <c r="F103">
        <v>4.7285648046433897</v>
      </c>
      <c r="G103">
        <v>1.05469870567322</v>
      </c>
      <c r="H103">
        <v>1.38478863239288</v>
      </c>
      <c r="I103">
        <v>0.18708007037639601</v>
      </c>
      <c r="J103">
        <v>0.479246735572815</v>
      </c>
      <c r="K103">
        <v>0.13936237990856201</v>
      </c>
      <c r="L103">
        <v>7.2509497404098497E-2</v>
      </c>
      <c r="M103">
        <v>1.51090860366821</v>
      </c>
      <c r="N103">
        <v>2017</v>
      </c>
    </row>
    <row r="104" spans="2:14" x14ac:dyDescent="0.35">
      <c r="B104" t="s">
        <v>128</v>
      </c>
      <c r="C104">
        <v>102</v>
      </c>
      <c r="D104">
        <v>4.8049998283386204</v>
      </c>
      <c r="E104">
        <v>4.8843670070171399</v>
      </c>
      <c r="F104">
        <v>4.7256326496601098</v>
      </c>
      <c r="G104">
        <v>1.0072658061981199</v>
      </c>
      <c r="H104">
        <v>0.86835145950317405</v>
      </c>
      <c r="I104">
        <v>0.61321204900741599</v>
      </c>
      <c r="J104">
        <v>0.28968068957328802</v>
      </c>
      <c r="K104">
        <v>4.96933571994305E-2</v>
      </c>
      <c r="L104">
        <v>8.6723148822784396E-2</v>
      </c>
      <c r="M104">
        <v>1.8902511596679701</v>
      </c>
      <c r="N104">
        <v>2017</v>
      </c>
    </row>
    <row r="105" spans="2:14" x14ac:dyDescent="0.35">
      <c r="B105" t="s">
        <v>129</v>
      </c>
      <c r="C105">
        <v>103</v>
      </c>
      <c r="D105">
        <v>4.7750000953674299</v>
      </c>
      <c r="E105">
        <v>4.8818483425676797</v>
      </c>
      <c r="F105">
        <v>4.66815184816718</v>
      </c>
      <c r="G105">
        <v>0.71624922752380404</v>
      </c>
      <c r="H105">
        <v>1.1556471586227399</v>
      </c>
      <c r="I105">
        <v>0.56566697359085105</v>
      </c>
      <c r="J105">
        <v>0.25471106171607999</v>
      </c>
      <c r="K105">
        <v>0.114173173904419</v>
      </c>
      <c r="L105">
        <v>8.9282602071762099E-2</v>
      </c>
      <c r="M105">
        <v>1.8788902759552</v>
      </c>
      <c r="N105">
        <v>2017</v>
      </c>
    </row>
    <row r="106" spans="2:14" x14ac:dyDescent="0.35">
      <c r="B106" t="s">
        <v>156</v>
      </c>
      <c r="C106">
        <v>104</v>
      </c>
      <c r="D106">
        <v>4.7350001335143999</v>
      </c>
      <c r="E106">
        <v>4.8251337896287403</v>
      </c>
      <c r="F106">
        <v>4.6448664774000603</v>
      </c>
      <c r="G106">
        <v>0.989701807498932</v>
      </c>
      <c r="H106">
        <v>0.99747139215469405</v>
      </c>
      <c r="I106">
        <v>0.52018725872039795</v>
      </c>
      <c r="J106">
        <v>0.282110154628754</v>
      </c>
      <c r="K106">
        <v>0.12863144278526301</v>
      </c>
      <c r="L106">
        <v>0.114381365478039</v>
      </c>
      <c r="M106">
        <v>1.7021610736846899</v>
      </c>
      <c r="N106">
        <v>2017</v>
      </c>
    </row>
    <row r="107" spans="2:14" x14ac:dyDescent="0.35">
      <c r="B107" t="s">
        <v>155</v>
      </c>
      <c r="C107">
        <v>105</v>
      </c>
      <c r="D107">
        <v>4.7140002250671396</v>
      </c>
      <c r="E107">
        <v>4.8036947064101696</v>
      </c>
      <c r="F107">
        <v>4.6243057437241104</v>
      </c>
      <c r="G107">
        <v>1.1614590883255</v>
      </c>
      <c r="H107">
        <v>1.4343794584274301</v>
      </c>
      <c r="I107">
        <v>0.70821768045425404</v>
      </c>
      <c r="J107">
        <v>0.289231717586517</v>
      </c>
      <c r="K107">
        <v>0.11317769438028299</v>
      </c>
      <c r="L107">
        <v>1.1051530949771401E-2</v>
      </c>
      <c r="M107">
        <v>0.99613928794860795</v>
      </c>
      <c r="N107">
        <v>2017</v>
      </c>
    </row>
    <row r="108" spans="2:14" x14ac:dyDescent="0.35">
      <c r="B108" t="s">
        <v>144</v>
      </c>
      <c r="C108">
        <v>106</v>
      </c>
      <c r="D108">
        <v>4.7090001106262198</v>
      </c>
      <c r="E108">
        <v>4.8506433349847802</v>
      </c>
      <c r="F108">
        <v>4.5673568862676603</v>
      </c>
      <c r="G108">
        <v>0.36842092871665999</v>
      </c>
      <c r="H108">
        <v>0.98413604497909501</v>
      </c>
      <c r="I108">
        <v>5.5647538974881198E-3</v>
      </c>
      <c r="J108">
        <v>0.31869769096374501</v>
      </c>
      <c r="K108">
        <v>0.293040901422501</v>
      </c>
      <c r="L108">
        <v>7.1095176041126307E-2</v>
      </c>
      <c r="M108">
        <v>2.6684598922729501</v>
      </c>
      <c r="N108">
        <v>2017</v>
      </c>
    </row>
    <row r="109" spans="2:14" x14ac:dyDescent="0.35">
      <c r="B109" t="s">
        <v>154</v>
      </c>
      <c r="C109">
        <v>107</v>
      </c>
      <c r="D109">
        <v>4.6950001716613796</v>
      </c>
      <c r="E109">
        <v>4.7965408572554598</v>
      </c>
      <c r="F109">
        <v>4.5934594860673004</v>
      </c>
      <c r="G109">
        <v>0.56430536508560203</v>
      </c>
      <c r="H109">
        <v>0.94601821899414096</v>
      </c>
      <c r="I109">
        <v>0.13289211690425901</v>
      </c>
      <c r="J109">
        <v>0.43038874864578203</v>
      </c>
      <c r="K109">
        <v>0.23629845678806299</v>
      </c>
      <c r="L109">
        <v>5.1306631416082403E-2</v>
      </c>
      <c r="M109">
        <v>2.3336455821990998</v>
      </c>
      <c r="N109">
        <v>2017</v>
      </c>
    </row>
    <row r="110" spans="2:14" x14ac:dyDescent="0.35">
      <c r="B110" t="s">
        <v>131</v>
      </c>
      <c r="C110">
        <v>108</v>
      </c>
      <c r="D110">
        <v>4.6919999122619602</v>
      </c>
      <c r="E110">
        <v>4.7982247076928601</v>
      </c>
      <c r="F110">
        <v>4.5857751168310603</v>
      </c>
      <c r="G110">
        <v>1.1568731069564799</v>
      </c>
      <c r="H110">
        <v>0.71155124902725198</v>
      </c>
      <c r="I110">
        <v>0.63933318853378296</v>
      </c>
      <c r="J110">
        <v>0.24932260811328899</v>
      </c>
      <c r="K110">
        <v>0.38724291324615501</v>
      </c>
      <c r="L110">
        <v>4.8761073499917998E-2</v>
      </c>
      <c r="M110">
        <v>1.49873495101929</v>
      </c>
      <c r="N110">
        <v>2017</v>
      </c>
    </row>
    <row r="111" spans="2:14" x14ac:dyDescent="0.35">
      <c r="B111" t="s">
        <v>116</v>
      </c>
      <c r="C111">
        <v>109</v>
      </c>
      <c r="D111">
        <v>4.6440000534057599</v>
      </c>
      <c r="E111">
        <v>4.7524640063941499</v>
      </c>
      <c r="F111">
        <v>4.5355361004173798</v>
      </c>
      <c r="G111">
        <v>0.99619275331497203</v>
      </c>
      <c r="H111">
        <v>0.80368524789810203</v>
      </c>
      <c r="I111">
        <v>0.73115974664688099</v>
      </c>
      <c r="J111">
        <v>0.38149863481521601</v>
      </c>
      <c r="K111">
        <v>0.20131294429302199</v>
      </c>
      <c r="L111">
        <v>3.9864215999841697E-2</v>
      </c>
      <c r="M111">
        <v>1.4904415607452399</v>
      </c>
      <c r="N111">
        <v>2017</v>
      </c>
    </row>
    <row r="112" spans="2:14" x14ac:dyDescent="0.35">
      <c r="B112" t="s">
        <v>130</v>
      </c>
      <c r="C112">
        <v>110</v>
      </c>
      <c r="D112">
        <v>4.6079998016357404</v>
      </c>
      <c r="E112">
        <v>4.6898216582834698</v>
      </c>
      <c r="F112">
        <v>4.5261779449880102</v>
      </c>
      <c r="G112">
        <v>0.58668297529220603</v>
      </c>
      <c r="H112">
        <v>0.73513174057006803</v>
      </c>
      <c r="I112">
        <v>0.53324103355407704</v>
      </c>
      <c r="J112">
        <v>0.47835665941238398</v>
      </c>
      <c r="K112">
        <v>0.17225535213947299</v>
      </c>
      <c r="L112">
        <v>0.123717859387398</v>
      </c>
      <c r="M112">
        <v>1.9787361621856701</v>
      </c>
      <c r="N112">
        <v>2017</v>
      </c>
    </row>
    <row r="113" spans="2:14" x14ac:dyDescent="0.35">
      <c r="B113" t="s">
        <v>211</v>
      </c>
      <c r="C113">
        <v>111</v>
      </c>
      <c r="D113">
        <v>4.5739998817443803</v>
      </c>
      <c r="E113">
        <v>4.7703547409176803</v>
      </c>
      <c r="F113">
        <v>4.3776450225710901</v>
      </c>
      <c r="G113">
        <v>0.96443432569503795</v>
      </c>
      <c r="H113">
        <v>1.0984708070755</v>
      </c>
      <c r="I113">
        <v>0.33861181139946001</v>
      </c>
      <c r="J113">
        <v>0.52030354738235496</v>
      </c>
      <c r="K113">
        <v>7.7133744955062894E-2</v>
      </c>
      <c r="L113">
        <v>9.3146972358226804E-2</v>
      </c>
      <c r="M113">
        <v>1.4818902015686</v>
      </c>
      <c r="N113">
        <v>2017</v>
      </c>
    </row>
    <row r="114" spans="2:14" x14ac:dyDescent="0.35">
      <c r="B114" t="s">
        <v>146</v>
      </c>
      <c r="C114">
        <v>112</v>
      </c>
      <c r="D114">
        <v>4.55299997329712</v>
      </c>
      <c r="E114">
        <v>4.6556915906071703</v>
      </c>
      <c r="F114">
        <v>4.4503083559870698</v>
      </c>
      <c r="G114">
        <v>0.56047946214675903</v>
      </c>
      <c r="H114">
        <v>1.0679507255554199</v>
      </c>
      <c r="I114">
        <v>0.30998834967613198</v>
      </c>
      <c r="J114">
        <v>0.45276376605033902</v>
      </c>
      <c r="K114">
        <v>0.444860309362411</v>
      </c>
      <c r="L114">
        <v>6.4641319215297699E-2</v>
      </c>
      <c r="M114">
        <v>1.6519021987914999</v>
      </c>
      <c r="N114">
        <v>2017</v>
      </c>
    </row>
    <row r="115" spans="2:14" x14ac:dyDescent="0.35">
      <c r="B115" t="s">
        <v>115</v>
      </c>
      <c r="C115">
        <v>113</v>
      </c>
      <c r="D115">
        <v>4.5500001907348597</v>
      </c>
      <c r="E115">
        <v>4.7741023263335203</v>
      </c>
      <c r="F115">
        <v>4.3258980551362001</v>
      </c>
      <c r="G115">
        <v>0.234305649995804</v>
      </c>
      <c r="H115">
        <v>0.87070101499557495</v>
      </c>
      <c r="I115">
        <v>0.106654435396194</v>
      </c>
      <c r="J115">
        <v>0.48079109191894498</v>
      </c>
      <c r="K115">
        <v>0.322228103876114</v>
      </c>
      <c r="L115">
        <v>0.179436385631561</v>
      </c>
      <c r="M115">
        <v>2.35565090179443</v>
      </c>
      <c r="N115">
        <v>2017</v>
      </c>
    </row>
    <row r="116" spans="2:14" x14ac:dyDescent="0.35">
      <c r="B116" t="s">
        <v>150</v>
      </c>
      <c r="C116">
        <v>114</v>
      </c>
      <c r="D116">
        <v>4.5450000762939498</v>
      </c>
      <c r="E116">
        <v>4.6147399464249599</v>
      </c>
      <c r="F116">
        <v>4.4752602061629299</v>
      </c>
      <c r="G116">
        <v>0.36711055040359503</v>
      </c>
      <c r="H116">
        <v>1.12323594093323</v>
      </c>
      <c r="I116">
        <v>0.39752256870269798</v>
      </c>
      <c r="J116">
        <v>0.51449203491210904</v>
      </c>
      <c r="K116">
        <v>0.83807516098022505</v>
      </c>
      <c r="L116">
        <v>0.18881620466709101</v>
      </c>
      <c r="M116">
        <v>1.11529040336609</v>
      </c>
      <c r="N116">
        <v>2017</v>
      </c>
    </row>
    <row r="117" spans="2:14" x14ac:dyDescent="0.35">
      <c r="B117" t="s">
        <v>163</v>
      </c>
      <c r="C117">
        <v>115</v>
      </c>
      <c r="D117">
        <v>4.5349998474121103</v>
      </c>
      <c r="E117">
        <v>4.6016037812828996</v>
      </c>
      <c r="F117">
        <v>4.46839591354132</v>
      </c>
      <c r="G117">
        <v>0.479309022426605</v>
      </c>
      <c r="H117">
        <v>1.17969191074371</v>
      </c>
      <c r="I117">
        <v>0.409362852573395</v>
      </c>
      <c r="J117">
        <v>0.37792226672172502</v>
      </c>
      <c r="K117">
        <v>0.183468893170357</v>
      </c>
      <c r="L117">
        <v>0.115460447967052</v>
      </c>
      <c r="M117">
        <v>1.78964614868164</v>
      </c>
      <c r="N117">
        <v>2017</v>
      </c>
    </row>
    <row r="118" spans="2:14" x14ac:dyDescent="0.35">
      <c r="B118" t="s">
        <v>106</v>
      </c>
      <c r="C118">
        <v>116</v>
      </c>
      <c r="D118">
        <v>4.5139999389648402</v>
      </c>
      <c r="E118">
        <v>4.64410550147295</v>
      </c>
      <c r="F118">
        <v>4.3838943764567402</v>
      </c>
      <c r="G118">
        <v>0.63640677928924605</v>
      </c>
      <c r="H118">
        <v>1.0031872987747199</v>
      </c>
      <c r="I118">
        <v>0.25783589482307401</v>
      </c>
      <c r="J118">
        <v>0.46160349249839799</v>
      </c>
      <c r="K118">
        <v>0.24958014488220201</v>
      </c>
      <c r="L118">
        <v>7.8213550150394398E-2</v>
      </c>
      <c r="M118">
        <v>1.82670545578003</v>
      </c>
      <c r="N118">
        <v>2017</v>
      </c>
    </row>
    <row r="119" spans="2:14" x14ac:dyDescent="0.35">
      <c r="B119" t="s">
        <v>133</v>
      </c>
      <c r="C119">
        <v>117</v>
      </c>
      <c r="D119">
        <v>4.4970002174377397</v>
      </c>
      <c r="E119">
        <v>4.6225914096832303</v>
      </c>
      <c r="F119">
        <v>4.3714090251922597</v>
      </c>
      <c r="G119">
        <v>1.10271048545837</v>
      </c>
      <c r="H119">
        <v>0.97861319780349698</v>
      </c>
      <c r="I119">
        <v>0.50118046998977706</v>
      </c>
      <c r="J119">
        <v>0.28855553269386303</v>
      </c>
      <c r="K119">
        <v>0.19963726401328999</v>
      </c>
      <c r="L119">
        <v>0.10721575468778601</v>
      </c>
      <c r="M119">
        <v>1.3189072608947801</v>
      </c>
      <c r="N119">
        <v>2017</v>
      </c>
    </row>
    <row r="120" spans="2:14" x14ac:dyDescent="0.35">
      <c r="B120" t="s">
        <v>164</v>
      </c>
      <c r="C120">
        <v>118</v>
      </c>
      <c r="D120">
        <v>4.4650001525878897</v>
      </c>
      <c r="E120">
        <v>4.5573617656529004</v>
      </c>
      <c r="F120">
        <v>4.3726385395228897</v>
      </c>
      <c r="G120">
        <v>1.1982102394103999</v>
      </c>
      <c r="H120">
        <v>1.1556202173232999</v>
      </c>
      <c r="I120">
        <v>0.356578588485718</v>
      </c>
      <c r="J120">
        <v>0.31232857704162598</v>
      </c>
      <c r="K120">
        <v>4.3785378336906398E-2</v>
      </c>
      <c r="L120">
        <v>7.6046787202358204E-2</v>
      </c>
      <c r="M120">
        <v>1.3229162693023699</v>
      </c>
      <c r="N120">
        <v>2017</v>
      </c>
    </row>
    <row r="121" spans="2:14" x14ac:dyDescent="0.35">
      <c r="B121" t="s">
        <v>143</v>
      </c>
      <c r="C121">
        <v>119</v>
      </c>
      <c r="D121">
        <v>4.46000003814697</v>
      </c>
      <c r="E121">
        <v>4.5427286766469503</v>
      </c>
      <c r="F121">
        <v>4.3772713996470003</v>
      </c>
      <c r="G121">
        <v>0.33923384547233598</v>
      </c>
      <c r="H121">
        <v>0.86466920375823997</v>
      </c>
      <c r="I121">
        <v>0.35340970754623402</v>
      </c>
      <c r="J121">
        <v>0.40884274244308499</v>
      </c>
      <c r="K121">
        <v>0.31265074014663702</v>
      </c>
      <c r="L121">
        <v>0.16545571386814101</v>
      </c>
      <c r="M121">
        <v>2.0157437324523899</v>
      </c>
      <c r="N121">
        <v>2017</v>
      </c>
    </row>
    <row r="122" spans="2:14" x14ac:dyDescent="0.35">
      <c r="B122" t="s">
        <v>153</v>
      </c>
      <c r="C122">
        <v>120</v>
      </c>
      <c r="D122">
        <v>4.4400000572204599</v>
      </c>
      <c r="E122">
        <v>4.5534471923112898</v>
      </c>
      <c r="F122">
        <v>4.3265529221296299</v>
      </c>
      <c r="G122">
        <v>1.0098501443862899</v>
      </c>
      <c r="H122">
        <v>1.25997638702393</v>
      </c>
      <c r="I122">
        <v>0.62513083219528198</v>
      </c>
      <c r="J122">
        <v>0.56121325492858898</v>
      </c>
      <c r="K122">
        <v>0.49086356163024902</v>
      </c>
      <c r="L122">
        <v>7.36539661884308E-2</v>
      </c>
      <c r="M122">
        <v>0.419389247894287</v>
      </c>
      <c r="N122">
        <v>2017</v>
      </c>
    </row>
    <row r="123" spans="2:14" x14ac:dyDescent="0.35">
      <c r="B123" t="s">
        <v>148</v>
      </c>
      <c r="C123">
        <v>121</v>
      </c>
      <c r="D123">
        <v>4.3759999275207502</v>
      </c>
      <c r="E123">
        <v>4.46673461228609</v>
      </c>
      <c r="F123">
        <v>4.2852652427554103</v>
      </c>
      <c r="G123">
        <v>0.90059673786163297</v>
      </c>
      <c r="H123">
        <v>1.0074837207794201</v>
      </c>
      <c r="I123">
        <v>0.63752442598342896</v>
      </c>
      <c r="J123">
        <v>0.198303267359734</v>
      </c>
      <c r="K123">
        <v>8.3488091826438904E-2</v>
      </c>
      <c r="L123">
        <v>2.66744215041399E-2</v>
      </c>
      <c r="M123">
        <v>1.5214991569519001</v>
      </c>
      <c r="N123">
        <v>2017</v>
      </c>
    </row>
    <row r="124" spans="2:14" x14ac:dyDescent="0.35">
      <c r="B124" t="s">
        <v>138</v>
      </c>
      <c r="C124">
        <v>122</v>
      </c>
      <c r="D124">
        <v>4.3150000572204599</v>
      </c>
      <c r="E124">
        <v>4.3715220174938398</v>
      </c>
      <c r="F124">
        <v>4.2584780969470701</v>
      </c>
      <c r="G124">
        <v>0.79222124814987205</v>
      </c>
      <c r="H124">
        <v>0.75437259674072299</v>
      </c>
      <c r="I124">
        <v>0.455427616834641</v>
      </c>
      <c r="J124">
        <v>0.46998700499534601</v>
      </c>
      <c r="K124">
        <v>0.23153848946094499</v>
      </c>
      <c r="L124">
        <v>9.22268852591515E-2</v>
      </c>
      <c r="M124">
        <v>1.5191171169280999</v>
      </c>
      <c r="N124">
        <v>2017</v>
      </c>
    </row>
    <row r="125" spans="2:14" x14ac:dyDescent="0.35">
      <c r="B125" t="s">
        <v>145</v>
      </c>
      <c r="C125">
        <v>123</v>
      </c>
      <c r="D125">
        <v>4.2919998168945304</v>
      </c>
      <c r="E125">
        <v>4.3771636162698302</v>
      </c>
      <c r="F125">
        <v>4.2068360175192403</v>
      </c>
      <c r="G125">
        <v>0.64845728874206499</v>
      </c>
      <c r="H125">
        <v>1.2720308303832999</v>
      </c>
      <c r="I125">
        <v>0.28534927964210499</v>
      </c>
      <c r="J125">
        <v>9.6098043024539906E-2</v>
      </c>
      <c r="K125">
        <v>0.20187002420425401</v>
      </c>
      <c r="L125">
        <v>0.13695700466632801</v>
      </c>
      <c r="M125">
        <v>1.6516373157501201</v>
      </c>
      <c r="N125">
        <v>2017</v>
      </c>
    </row>
    <row r="126" spans="2:14" x14ac:dyDescent="0.35">
      <c r="B126" t="s">
        <v>160</v>
      </c>
      <c r="C126">
        <v>124</v>
      </c>
      <c r="D126">
        <v>4.2909998893737802</v>
      </c>
      <c r="E126">
        <v>4.4100535050034502</v>
      </c>
      <c r="F126">
        <v>4.1719462737441102</v>
      </c>
      <c r="G126">
        <v>0.80896425247192405</v>
      </c>
      <c r="H126">
        <v>0.83204436302185103</v>
      </c>
      <c r="I126">
        <v>0.28995743393897999</v>
      </c>
      <c r="J126">
        <v>0.43502587080001798</v>
      </c>
      <c r="K126">
        <v>0.120852127671242</v>
      </c>
      <c r="L126">
        <v>7.9618133604526506E-2</v>
      </c>
      <c r="M126">
        <v>1.7241356372833301</v>
      </c>
      <c r="N126">
        <v>2017</v>
      </c>
    </row>
    <row r="127" spans="2:14" x14ac:dyDescent="0.35">
      <c r="B127" t="s">
        <v>151</v>
      </c>
      <c r="C127">
        <v>125</v>
      </c>
      <c r="D127">
        <v>4.2859997749328604</v>
      </c>
      <c r="E127">
        <v>4.3749339658021897</v>
      </c>
      <c r="F127">
        <v>4.1970655840635303</v>
      </c>
      <c r="G127">
        <v>0.95061266422271695</v>
      </c>
      <c r="H127">
        <v>0.57061493396759</v>
      </c>
      <c r="I127">
        <v>0.64954698085784901</v>
      </c>
      <c r="J127">
        <v>0.30941003561019897</v>
      </c>
      <c r="K127">
        <v>5.4008815437555299E-2</v>
      </c>
      <c r="L127">
        <v>0.25166663527488697</v>
      </c>
      <c r="M127">
        <v>1.50013780593872</v>
      </c>
      <c r="N127">
        <v>2017</v>
      </c>
    </row>
    <row r="128" spans="2:14" x14ac:dyDescent="0.35">
      <c r="B128" t="s">
        <v>141</v>
      </c>
      <c r="C128">
        <v>126</v>
      </c>
      <c r="D128">
        <v>4.2800002098083496</v>
      </c>
      <c r="E128">
        <v>4.3578108327090703</v>
      </c>
      <c r="F128">
        <v>4.2021895869076298</v>
      </c>
      <c r="G128">
        <v>9.2102348804473905E-2</v>
      </c>
      <c r="H128">
        <v>1.2290234565734901</v>
      </c>
      <c r="I128">
        <v>0.191407024860382</v>
      </c>
      <c r="J128">
        <v>0.23596134781837499</v>
      </c>
      <c r="K128">
        <v>0.246455833315849</v>
      </c>
      <c r="L128">
        <v>6.02413564920425E-2</v>
      </c>
      <c r="M128">
        <v>2.2249586582183798</v>
      </c>
      <c r="N128">
        <v>2017</v>
      </c>
    </row>
    <row r="129" spans="2:14" x14ac:dyDescent="0.35">
      <c r="B129" t="s">
        <v>159</v>
      </c>
      <c r="C129">
        <v>127</v>
      </c>
      <c r="D129">
        <v>4.1900000572204599</v>
      </c>
      <c r="E129">
        <v>4.26967071101069</v>
      </c>
      <c r="F129">
        <v>4.11032940343022</v>
      </c>
      <c r="G129">
        <v>0.47618049383163502</v>
      </c>
      <c r="H129">
        <v>1.2814733982086199</v>
      </c>
      <c r="I129">
        <v>0.169365674257278</v>
      </c>
      <c r="J129">
        <v>0.30661374330520602</v>
      </c>
      <c r="K129">
        <v>0.18335419893264801</v>
      </c>
      <c r="L129">
        <v>0.10497024655342101</v>
      </c>
      <c r="M129">
        <v>1.66819095611572</v>
      </c>
      <c r="N129">
        <v>2017</v>
      </c>
    </row>
    <row r="130" spans="2:14" x14ac:dyDescent="0.35">
      <c r="B130" t="s">
        <v>172</v>
      </c>
      <c r="C130">
        <v>128</v>
      </c>
      <c r="D130">
        <v>4.1799998283386204</v>
      </c>
      <c r="E130">
        <v>4.2751825632154903</v>
      </c>
      <c r="F130">
        <v>4.0848170934617496</v>
      </c>
      <c r="G130">
        <v>0.60304892063140902</v>
      </c>
      <c r="H130">
        <v>0.90478003025054898</v>
      </c>
      <c r="I130">
        <v>4.8642169684171697E-2</v>
      </c>
      <c r="J130">
        <v>0.44770619273185702</v>
      </c>
      <c r="K130">
        <v>0.20123746991157501</v>
      </c>
      <c r="L130">
        <v>0.130061775445938</v>
      </c>
      <c r="M130">
        <v>1.84496426582336</v>
      </c>
      <c r="N130">
        <v>2017</v>
      </c>
    </row>
    <row r="131" spans="2:14" x14ac:dyDescent="0.35">
      <c r="B131" t="s">
        <v>166</v>
      </c>
      <c r="C131">
        <v>129</v>
      </c>
      <c r="D131">
        <v>4.1680002212524396</v>
      </c>
      <c r="E131">
        <v>4.27851781353354</v>
      </c>
      <c r="F131">
        <v>4.0574826289713402</v>
      </c>
      <c r="G131">
        <v>0.601765096187592</v>
      </c>
      <c r="H131">
        <v>1.0062383413314799</v>
      </c>
      <c r="I131">
        <v>0.42978340387344399</v>
      </c>
      <c r="J131">
        <v>0.63337582349777199</v>
      </c>
      <c r="K131">
        <v>0.38592296838760398</v>
      </c>
      <c r="L131">
        <v>6.8105950951576205E-2</v>
      </c>
      <c r="M131">
        <v>1.04294109344482</v>
      </c>
      <c r="N131">
        <v>2017</v>
      </c>
    </row>
    <row r="132" spans="2:14" x14ac:dyDescent="0.35">
      <c r="B132" t="s">
        <v>139</v>
      </c>
      <c r="C132">
        <v>130</v>
      </c>
      <c r="D132">
        <v>4.1389999389648402</v>
      </c>
      <c r="E132">
        <v>4.3457471650838899</v>
      </c>
      <c r="F132">
        <v>3.9322527128457998</v>
      </c>
      <c r="G132">
        <v>0.65951669216155995</v>
      </c>
      <c r="H132">
        <v>1.2140085697174099</v>
      </c>
      <c r="I132">
        <v>0.29092082381248502</v>
      </c>
      <c r="J132">
        <v>1.49958552792668E-2</v>
      </c>
      <c r="K132">
        <v>0.182317450642586</v>
      </c>
      <c r="L132">
        <v>8.9847519993782002E-2</v>
      </c>
      <c r="M132">
        <v>1.6870658397674601</v>
      </c>
      <c r="N132">
        <v>2017</v>
      </c>
    </row>
    <row r="133" spans="2:14" x14ac:dyDescent="0.35">
      <c r="B133" t="s">
        <v>135</v>
      </c>
      <c r="C133">
        <v>131</v>
      </c>
      <c r="D133">
        <v>4.1199998855590803</v>
      </c>
      <c r="E133">
        <v>4.22270720854402</v>
      </c>
      <c r="F133">
        <v>4.0172925625741502</v>
      </c>
      <c r="G133">
        <v>0.66722482442855802</v>
      </c>
      <c r="H133">
        <v>0.87366473674774203</v>
      </c>
      <c r="I133">
        <v>0.295637726783752</v>
      </c>
      <c r="J133">
        <v>0.423026293516159</v>
      </c>
      <c r="K133">
        <v>0.25692394375801098</v>
      </c>
      <c r="L133">
        <v>2.5336369872093201E-2</v>
      </c>
      <c r="M133">
        <v>1.5778675079345701</v>
      </c>
      <c r="N133">
        <v>2017</v>
      </c>
    </row>
    <row r="134" spans="2:14" x14ac:dyDescent="0.35">
      <c r="B134" t="s">
        <v>132</v>
      </c>
      <c r="C134">
        <v>132</v>
      </c>
      <c r="D134">
        <v>4.0960001945495597</v>
      </c>
      <c r="E134">
        <v>4.1854101045429699</v>
      </c>
      <c r="F134">
        <v>4.0065902845561503</v>
      </c>
      <c r="G134">
        <v>0.89465194940567005</v>
      </c>
      <c r="H134">
        <v>1.39453756809235</v>
      </c>
      <c r="I134">
        <v>0.57590395212173495</v>
      </c>
      <c r="J134">
        <v>0.122974775731564</v>
      </c>
      <c r="K134">
        <v>0.27006146311759899</v>
      </c>
      <c r="L134">
        <v>2.3029470816254598E-2</v>
      </c>
      <c r="M134">
        <v>0.81438231468200695</v>
      </c>
      <c r="N134">
        <v>2017</v>
      </c>
    </row>
    <row r="135" spans="2:14" x14ac:dyDescent="0.35">
      <c r="B135" t="s">
        <v>162</v>
      </c>
      <c r="C135">
        <v>133</v>
      </c>
      <c r="D135">
        <v>4.0809998512268102</v>
      </c>
      <c r="E135">
        <v>4.1957999670505499</v>
      </c>
      <c r="F135">
        <v>3.9661997354030598</v>
      </c>
      <c r="G135">
        <v>0.38143071532249501</v>
      </c>
      <c r="H135">
        <v>1.12982773780823</v>
      </c>
      <c r="I135">
        <v>0.217632606625557</v>
      </c>
      <c r="J135">
        <v>0.443185955286026</v>
      </c>
      <c r="K135">
        <v>0.32576605677604697</v>
      </c>
      <c r="L135">
        <v>5.7069718837738002E-2</v>
      </c>
      <c r="M135">
        <v>1.526362657547</v>
      </c>
      <c r="N135">
        <v>2017</v>
      </c>
    </row>
    <row r="136" spans="2:14" x14ac:dyDescent="0.35">
      <c r="B136" t="s">
        <v>173</v>
      </c>
      <c r="C136">
        <v>134</v>
      </c>
      <c r="D136">
        <v>4.03200006484985</v>
      </c>
      <c r="E136">
        <v>4.1240590643882804</v>
      </c>
      <c r="F136">
        <v>3.9399410653114302</v>
      </c>
      <c r="G136">
        <v>0.35022771358490001</v>
      </c>
      <c r="H136">
        <v>1.04328000545502</v>
      </c>
      <c r="I136">
        <v>0.21584425866603901</v>
      </c>
      <c r="J136">
        <v>0.32436785101890597</v>
      </c>
      <c r="K136">
        <v>0.25086468458175698</v>
      </c>
      <c r="L136">
        <v>0.120328105986118</v>
      </c>
      <c r="M136">
        <v>1.72721290588379</v>
      </c>
      <c r="N136">
        <v>2017</v>
      </c>
    </row>
    <row r="137" spans="2:14" x14ac:dyDescent="0.35">
      <c r="B137" t="s">
        <v>165</v>
      </c>
      <c r="C137">
        <v>135</v>
      </c>
      <c r="D137">
        <v>4.0279998779296902</v>
      </c>
      <c r="E137">
        <v>4.1119468197226503</v>
      </c>
      <c r="F137">
        <v>3.9440529361367198</v>
      </c>
      <c r="G137">
        <v>0.16192533075809501</v>
      </c>
      <c r="H137">
        <v>0.99302500486373901</v>
      </c>
      <c r="I137">
        <v>0.26850500702857999</v>
      </c>
      <c r="J137">
        <v>0.36365869641303999</v>
      </c>
      <c r="K137">
        <v>0.228673845529556</v>
      </c>
      <c r="L137">
        <v>0.13857294619083399</v>
      </c>
      <c r="M137">
        <v>1.87398338317871</v>
      </c>
      <c r="N137">
        <v>2017</v>
      </c>
    </row>
    <row r="138" spans="2:14" x14ac:dyDescent="0.35">
      <c r="B138" t="s">
        <v>152</v>
      </c>
      <c r="C138">
        <v>136</v>
      </c>
      <c r="D138">
        <v>3.9700000286102299</v>
      </c>
      <c r="E138">
        <v>4.0774788174033203</v>
      </c>
      <c r="F138">
        <v>3.86252123981714</v>
      </c>
      <c r="G138">
        <v>0.233442038297653</v>
      </c>
      <c r="H138">
        <v>0.51256883144378695</v>
      </c>
      <c r="I138">
        <v>0.31508958339691201</v>
      </c>
      <c r="J138">
        <v>0.46691465377807601</v>
      </c>
      <c r="K138">
        <v>0.287170469760895</v>
      </c>
      <c r="L138">
        <v>7.2711654007434803E-2</v>
      </c>
      <c r="M138">
        <v>2.08178615570068</v>
      </c>
      <c r="N138">
        <v>2017</v>
      </c>
    </row>
    <row r="139" spans="2:14" x14ac:dyDescent="0.35">
      <c r="B139" t="s">
        <v>170</v>
      </c>
      <c r="C139">
        <v>137</v>
      </c>
      <c r="D139">
        <v>3.9360001087188698</v>
      </c>
      <c r="E139">
        <v>4.0347115239500999</v>
      </c>
      <c r="F139">
        <v>3.8372886934876398</v>
      </c>
      <c r="G139">
        <v>0.43801298737525901</v>
      </c>
      <c r="H139">
        <v>0.95385587215423595</v>
      </c>
      <c r="I139">
        <v>4.1134715080261203E-2</v>
      </c>
      <c r="J139">
        <v>0.16234202682971999</v>
      </c>
      <c r="K139">
        <v>0.21611385047435799</v>
      </c>
      <c r="L139">
        <v>5.3581882268190398E-2</v>
      </c>
      <c r="M139">
        <v>2.07123804092407</v>
      </c>
      <c r="N139">
        <v>2017</v>
      </c>
    </row>
    <row r="140" spans="2:14" x14ac:dyDescent="0.35">
      <c r="B140" t="s">
        <v>136</v>
      </c>
      <c r="C140">
        <v>138</v>
      </c>
      <c r="D140">
        <v>3.875</v>
      </c>
      <c r="E140">
        <v>3.97869964271784</v>
      </c>
      <c r="F140">
        <v>3.77130035728216</v>
      </c>
      <c r="G140">
        <v>0.37584653496742199</v>
      </c>
      <c r="H140">
        <v>1.08309590816498</v>
      </c>
      <c r="I140">
        <v>0.19676375389099099</v>
      </c>
      <c r="J140">
        <v>0.336384207010269</v>
      </c>
      <c r="K140">
        <v>0.18914349377155301</v>
      </c>
      <c r="L140">
        <v>9.5375381410121904E-2</v>
      </c>
      <c r="M140">
        <v>1.5979702472686801</v>
      </c>
      <c r="N140">
        <v>2017</v>
      </c>
    </row>
    <row r="141" spans="2:14" x14ac:dyDescent="0.35">
      <c r="B141" t="s">
        <v>118</v>
      </c>
      <c r="C141">
        <v>139</v>
      </c>
      <c r="D141">
        <v>3.8080000877380402</v>
      </c>
      <c r="E141">
        <v>4.0443439754843702</v>
      </c>
      <c r="F141">
        <v>3.5716561999917</v>
      </c>
      <c r="G141">
        <v>0.52102124691009499</v>
      </c>
      <c r="H141">
        <v>1.1900951862335201</v>
      </c>
      <c r="I141">
        <v>0</v>
      </c>
      <c r="J141">
        <v>0.39066129922866799</v>
      </c>
      <c r="K141">
        <v>0.15749727189540899</v>
      </c>
      <c r="L141">
        <v>0.11909464001655599</v>
      </c>
      <c r="M141">
        <v>1.4298353195190401</v>
      </c>
      <c r="N141">
        <v>2017</v>
      </c>
    </row>
    <row r="142" spans="2:14" x14ac:dyDescent="0.35">
      <c r="B142" t="s">
        <v>158</v>
      </c>
      <c r="C142">
        <v>140</v>
      </c>
      <c r="D142">
        <v>3.7950000762939502</v>
      </c>
      <c r="E142">
        <v>3.9516419354081198</v>
      </c>
      <c r="F142">
        <v>3.6383582171797801</v>
      </c>
      <c r="G142">
        <v>0.85842818021774303</v>
      </c>
      <c r="H142">
        <v>1.1044119596481301</v>
      </c>
      <c r="I142">
        <v>4.9868665635585799E-2</v>
      </c>
      <c r="J142">
        <v>0</v>
      </c>
      <c r="K142">
        <v>9.7926490008830996E-2</v>
      </c>
      <c r="L142">
        <v>6.9720335304737105E-2</v>
      </c>
      <c r="M142">
        <v>1.6144824028015099</v>
      </c>
      <c r="N142">
        <v>2017</v>
      </c>
    </row>
    <row r="143" spans="2:14" x14ac:dyDescent="0.35">
      <c r="B143" t="s">
        <v>174</v>
      </c>
      <c r="C143">
        <v>141</v>
      </c>
      <c r="D143">
        <v>3.7939999103546098</v>
      </c>
      <c r="E143">
        <v>3.8736614152789102</v>
      </c>
      <c r="F143">
        <v>3.7143384054303201</v>
      </c>
      <c r="G143">
        <v>0.40147721767425498</v>
      </c>
      <c r="H143">
        <v>0.58154332637786899</v>
      </c>
      <c r="I143">
        <v>0.18074677884578699</v>
      </c>
      <c r="J143">
        <v>0.10617952048778501</v>
      </c>
      <c r="K143">
        <v>0.31187093257904103</v>
      </c>
      <c r="L143">
        <v>6.1157830059528399E-2</v>
      </c>
      <c r="M143">
        <v>2.1508011817932098</v>
      </c>
      <c r="N143">
        <v>2017</v>
      </c>
    </row>
    <row r="144" spans="2:14" x14ac:dyDescent="0.35">
      <c r="B144" t="s">
        <v>149</v>
      </c>
      <c r="C144">
        <v>142</v>
      </c>
      <c r="D144">
        <v>3.7660000324249299</v>
      </c>
      <c r="E144">
        <v>3.8741226662695398</v>
      </c>
      <c r="F144">
        <v>3.6578773985803101</v>
      </c>
      <c r="G144">
        <v>1.1220941543579099</v>
      </c>
      <c r="H144">
        <v>1.2215549945831301</v>
      </c>
      <c r="I144">
        <v>0.34175550937652599</v>
      </c>
      <c r="J144">
        <v>0.505196332931519</v>
      </c>
      <c r="K144">
        <v>9.9348448216915103E-2</v>
      </c>
      <c r="L144">
        <v>9.8583199083805098E-2</v>
      </c>
      <c r="M144">
        <v>0.37791371345519997</v>
      </c>
      <c r="N144">
        <v>2017</v>
      </c>
    </row>
    <row r="145" spans="2:14" x14ac:dyDescent="0.35">
      <c r="B145" t="s">
        <v>176</v>
      </c>
      <c r="C145">
        <v>143</v>
      </c>
      <c r="D145">
        <v>3.65700006484985</v>
      </c>
      <c r="E145">
        <v>3.7457835513353301</v>
      </c>
      <c r="F145">
        <v>3.5682165783643698</v>
      </c>
      <c r="G145">
        <v>0.43108540773391701</v>
      </c>
      <c r="H145">
        <v>0.435299843549728</v>
      </c>
      <c r="I145">
        <v>0.20993021130561801</v>
      </c>
      <c r="J145">
        <v>0.42596277594566301</v>
      </c>
      <c r="K145">
        <v>0.20794846117496499</v>
      </c>
      <c r="L145">
        <v>6.0929015278816202E-2</v>
      </c>
      <c r="M145">
        <v>1.88563096523285</v>
      </c>
      <c r="N145">
        <v>2017</v>
      </c>
    </row>
    <row r="146" spans="2:14" x14ac:dyDescent="0.35">
      <c r="B146" t="s">
        <v>168</v>
      </c>
      <c r="C146">
        <v>144</v>
      </c>
      <c r="D146">
        <v>3.6440000534057599</v>
      </c>
      <c r="E146">
        <v>3.7143191058933702</v>
      </c>
      <c r="F146">
        <v>3.5736810009181501</v>
      </c>
      <c r="G146">
        <v>0.30580869317054699</v>
      </c>
      <c r="H146">
        <v>0.91302037239074696</v>
      </c>
      <c r="I146">
        <v>0.375223308801651</v>
      </c>
      <c r="J146">
        <v>0.18919676542282099</v>
      </c>
      <c r="K146">
        <v>0.208732530474663</v>
      </c>
      <c r="L146">
        <v>6.7231975495815305E-2</v>
      </c>
      <c r="M146">
        <v>1.58461260795593</v>
      </c>
      <c r="N146">
        <v>2017</v>
      </c>
    </row>
    <row r="147" spans="2:14" x14ac:dyDescent="0.35">
      <c r="B147" t="s">
        <v>140</v>
      </c>
      <c r="C147">
        <v>145</v>
      </c>
      <c r="D147">
        <v>3.6029999256134002</v>
      </c>
      <c r="E147">
        <v>3.7347147977352102</v>
      </c>
      <c r="F147">
        <v>3.4712850534915898</v>
      </c>
      <c r="G147">
        <v>0.36861026287078902</v>
      </c>
      <c r="H147">
        <v>0.64044982194900502</v>
      </c>
      <c r="I147">
        <v>0.27732113003730802</v>
      </c>
      <c r="J147">
        <v>3.0369857326149899E-2</v>
      </c>
      <c r="K147">
        <v>0.489203780889511</v>
      </c>
      <c r="L147">
        <v>9.9872149527072906E-2</v>
      </c>
      <c r="M147">
        <v>1.6971676349639899</v>
      </c>
      <c r="N147">
        <v>2017</v>
      </c>
    </row>
    <row r="148" spans="2:14" x14ac:dyDescent="0.35">
      <c r="B148" t="s">
        <v>157</v>
      </c>
      <c r="C148">
        <v>146</v>
      </c>
      <c r="D148">
        <v>3.59299993515015</v>
      </c>
      <c r="E148">
        <v>3.6927503198385199</v>
      </c>
      <c r="F148">
        <v>3.49324955046177</v>
      </c>
      <c r="G148">
        <v>0.59168344736099199</v>
      </c>
      <c r="H148">
        <v>0.93538224697113004</v>
      </c>
      <c r="I148">
        <v>0.310080915689468</v>
      </c>
      <c r="J148">
        <v>0.24946372210979501</v>
      </c>
      <c r="K148">
        <v>0.104125209152699</v>
      </c>
      <c r="L148">
        <v>5.67674227058887E-2</v>
      </c>
      <c r="M148">
        <v>1.3456006050109901</v>
      </c>
      <c r="N148">
        <v>2017</v>
      </c>
    </row>
    <row r="149" spans="2:14" x14ac:dyDescent="0.35">
      <c r="B149" t="s">
        <v>212</v>
      </c>
      <c r="C149">
        <v>147</v>
      </c>
      <c r="D149">
        <v>3.5910000801086399</v>
      </c>
      <c r="E149">
        <v>3.7255385857820502</v>
      </c>
      <c r="F149">
        <v>3.4564615744352301</v>
      </c>
      <c r="G149">
        <v>0.39724862575531</v>
      </c>
      <c r="H149">
        <v>0.60132312774658203</v>
      </c>
      <c r="I149">
        <v>0.16348600387573201</v>
      </c>
      <c r="J149">
        <v>0.14706243574619299</v>
      </c>
      <c r="K149">
        <v>0.285670816898346</v>
      </c>
      <c r="L149">
        <v>0.116793513298035</v>
      </c>
      <c r="M149">
        <v>1.87956738471985</v>
      </c>
      <c r="N149">
        <v>2017</v>
      </c>
    </row>
    <row r="150" spans="2:14" x14ac:dyDescent="0.35">
      <c r="B150" t="s">
        <v>137</v>
      </c>
      <c r="C150">
        <v>148</v>
      </c>
      <c r="D150">
        <v>3.5329999923706099</v>
      </c>
      <c r="E150">
        <v>3.6537562608718899</v>
      </c>
      <c r="F150">
        <v>3.4122437238693202</v>
      </c>
      <c r="G150">
        <v>0.119041793048382</v>
      </c>
      <c r="H150">
        <v>0.87211793661117598</v>
      </c>
      <c r="I150">
        <v>0.22991819679737099</v>
      </c>
      <c r="J150">
        <v>0.33288118243217502</v>
      </c>
      <c r="K150">
        <v>0.26654988527298001</v>
      </c>
      <c r="L150">
        <v>3.8948249071836499E-2</v>
      </c>
      <c r="M150">
        <v>1.6732859611511199</v>
      </c>
      <c r="N150">
        <v>2017</v>
      </c>
    </row>
    <row r="151" spans="2:14" x14ac:dyDescent="0.35">
      <c r="B151" t="s">
        <v>171</v>
      </c>
      <c r="C151">
        <v>149</v>
      </c>
      <c r="D151">
        <v>3.5069999694824201</v>
      </c>
      <c r="E151">
        <v>3.5844281288981401</v>
      </c>
      <c r="F151">
        <v>3.4295718100667001</v>
      </c>
      <c r="G151">
        <v>0.244549930095673</v>
      </c>
      <c r="H151">
        <v>0.79124468564987205</v>
      </c>
      <c r="I151">
        <v>0.194129139184952</v>
      </c>
      <c r="J151">
        <v>0.34858751296997098</v>
      </c>
      <c r="K151">
        <v>0.26481509208679199</v>
      </c>
      <c r="L151">
        <v>0.110937617719173</v>
      </c>
      <c r="M151">
        <v>1.55231189727783</v>
      </c>
      <c r="N151">
        <v>2017</v>
      </c>
    </row>
    <row r="152" spans="2:14" x14ac:dyDescent="0.35">
      <c r="B152" t="s">
        <v>179</v>
      </c>
      <c r="C152">
        <v>150</v>
      </c>
      <c r="D152">
        <v>3.4949998855590798</v>
      </c>
      <c r="E152">
        <v>3.5940381117165101</v>
      </c>
      <c r="F152">
        <v>3.3959616594016602</v>
      </c>
      <c r="G152">
        <v>0.30544471740722701</v>
      </c>
      <c r="H152">
        <v>0.43188253045082098</v>
      </c>
      <c r="I152">
        <v>0.247105568647385</v>
      </c>
      <c r="J152">
        <v>0.38042613863945002</v>
      </c>
      <c r="K152">
        <v>0.19689615070819899</v>
      </c>
      <c r="L152">
        <v>9.5665015280246707E-2</v>
      </c>
      <c r="M152">
        <v>1.83722925186157</v>
      </c>
      <c r="N152">
        <v>2017</v>
      </c>
    </row>
    <row r="153" spans="2:14" x14ac:dyDescent="0.35">
      <c r="B153" t="s">
        <v>175</v>
      </c>
      <c r="C153">
        <v>151</v>
      </c>
      <c r="D153">
        <v>3.4709999561309801</v>
      </c>
      <c r="E153">
        <v>3.5430302335321899</v>
      </c>
      <c r="F153">
        <v>3.3989696787297698</v>
      </c>
      <c r="G153">
        <v>0.36874589323997498</v>
      </c>
      <c r="H153">
        <v>0.94570702314376798</v>
      </c>
      <c r="I153">
        <v>0.32642480731010398</v>
      </c>
      <c r="J153">
        <v>0.58184385299682595</v>
      </c>
      <c r="K153">
        <v>0.25275602936744701</v>
      </c>
      <c r="L153">
        <v>0.45522001385688798</v>
      </c>
      <c r="M153">
        <v>0.540061235427856</v>
      </c>
      <c r="N153">
        <v>2017</v>
      </c>
    </row>
    <row r="154" spans="2:14" x14ac:dyDescent="0.35">
      <c r="B154" t="s">
        <v>177</v>
      </c>
      <c r="C154">
        <v>152</v>
      </c>
      <c r="D154">
        <v>3.4619998931884801</v>
      </c>
      <c r="E154">
        <v>3.66366855680943</v>
      </c>
      <c r="F154">
        <v>3.2603312295675302</v>
      </c>
      <c r="G154">
        <v>0.77715313434600797</v>
      </c>
      <c r="H154">
        <v>0.39610260725021401</v>
      </c>
      <c r="I154">
        <v>0.50053334236144997</v>
      </c>
      <c r="J154">
        <v>8.1539444625377697E-2</v>
      </c>
      <c r="K154">
        <v>0.49366372823715199</v>
      </c>
      <c r="L154">
        <v>0.151347130537033</v>
      </c>
      <c r="M154">
        <v>1.06157350540161</v>
      </c>
      <c r="N154">
        <v>2017</v>
      </c>
    </row>
    <row r="155" spans="2:14" x14ac:dyDescent="0.35">
      <c r="B155" t="s">
        <v>167</v>
      </c>
      <c r="C155">
        <v>153</v>
      </c>
      <c r="D155">
        <v>3.34899997711182</v>
      </c>
      <c r="E155">
        <v>3.4614297553896902</v>
      </c>
      <c r="F155">
        <v>3.2365701988339399</v>
      </c>
      <c r="G155">
        <v>0.51113587617874101</v>
      </c>
      <c r="H155">
        <v>1.0419898033142101</v>
      </c>
      <c r="I155">
        <v>0.36450928449630698</v>
      </c>
      <c r="J155">
        <v>0.39001777768135099</v>
      </c>
      <c r="K155">
        <v>0.354256361722946</v>
      </c>
      <c r="L155">
        <v>6.6035106778144795E-2</v>
      </c>
      <c r="M155">
        <v>0.62113046646118197</v>
      </c>
      <c r="N155">
        <v>2017</v>
      </c>
    </row>
    <row r="156" spans="2:14" x14ac:dyDescent="0.35">
      <c r="B156" t="s">
        <v>178</v>
      </c>
      <c r="C156">
        <v>154</v>
      </c>
      <c r="D156">
        <v>2.9049999713897701</v>
      </c>
      <c r="E156">
        <v>3.0746903330087698</v>
      </c>
      <c r="F156">
        <v>2.7353096097707699</v>
      </c>
      <c r="G156">
        <v>9.1622568666934995E-2</v>
      </c>
      <c r="H156">
        <v>0.62979358434677102</v>
      </c>
      <c r="I156">
        <v>0.15161079168319699</v>
      </c>
      <c r="J156">
        <v>5.9900753200054203E-2</v>
      </c>
      <c r="K156">
        <v>0.204435184597969</v>
      </c>
      <c r="L156">
        <v>8.4147945046424893E-2</v>
      </c>
      <c r="M156">
        <v>1.6830241680145299</v>
      </c>
      <c r="N156">
        <v>2017</v>
      </c>
    </row>
    <row r="157" spans="2:14" x14ac:dyDescent="0.35">
      <c r="B157" t="s">
        <v>169</v>
      </c>
      <c r="C157">
        <v>155</v>
      </c>
      <c r="D157">
        <v>2.6930000782012899</v>
      </c>
      <c r="E157">
        <v>2.8648842692375198</v>
      </c>
      <c r="F157">
        <v>2.5211158871650698</v>
      </c>
      <c r="G157">
        <v>0</v>
      </c>
      <c r="H157">
        <v>0</v>
      </c>
      <c r="I157">
        <v>1.8772685900330498E-2</v>
      </c>
      <c r="J157">
        <v>0.270842045545578</v>
      </c>
      <c r="K157">
        <v>0.28087648749351501</v>
      </c>
      <c r="L157">
        <v>5.6565076112747199E-2</v>
      </c>
      <c r="M157">
        <v>2.0660047531127899</v>
      </c>
      <c r="N157">
        <v>2017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C544-D4DF-4EDE-9238-C2558846233C}">
  <dimension ref="B2:K158"/>
  <sheetViews>
    <sheetView topLeftCell="A3" zoomScale="80" zoomScaleNormal="80" workbookViewId="0">
      <selection activeCell="H19" sqref="H19"/>
    </sheetView>
  </sheetViews>
  <sheetFormatPr defaultRowHeight="14.5" x14ac:dyDescent="0.35"/>
  <sheetData>
    <row r="2" spans="2:11" x14ac:dyDescent="0.35">
      <c r="B2" t="s">
        <v>223</v>
      </c>
      <c r="C2" t="s">
        <v>224</v>
      </c>
      <c r="D2" t="s">
        <v>225</v>
      </c>
      <c r="E2" t="s">
        <v>226</v>
      </c>
      <c r="F2" t="s">
        <v>227</v>
      </c>
      <c r="G2" t="s">
        <v>228</v>
      </c>
      <c r="H2" t="s">
        <v>229</v>
      </c>
      <c r="I2" t="s">
        <v>10</v>
      </c>
      <c r="J2" t="s">
        <v>230</v>
      </c>
      <c r="K2" t="s">
        <v>198</v>
      </c>
    </row>
    <row r="3" spans="2:11" x14ac:dyDescent="0.35">
      <c r="B3">
        <v>1</v>
      </c>
      <c r="C3" t="s">
        <v>19</v>
      </c>
      <c r="D3">
        <v>7.6319999999999997</v>
      </c>
      <c r="E3">
        <v>1.3049999999999999</v>
      </c>
      <c r="F3">
        <v>1.5920000000000001</v>
      </c>
      <c r="G3">
        <v>0.874</v>
      </c>
      <c r="H3">
        <v>0.68100000000000005</v>
      </c>
      <c r="I3">
        <v>0.20200000000000001</v>
      </c>
      <c r="J3">
        <v>0.39300000000000002</v>
      </c>
      <c r="K3">
        <v>2018</v>
      </c>
    </row>
    <row r="4" spans="2:11" x14ac:dyDescent="0.35">
      <c r="B4">
        <v>2</v>
      </c>
      <c r="C4" t="s">
        <v>16</v>
      </c>
      <c r="D4">
        <v>7.5940000000000003</v>
      </c>
      <c r="E4">
        <v>1.456</v>
      </c>
      <c r="F4">
        <v>1.5820000000000001</v>
      </c>
      <c r="G4">
        <v>0.86099999999999999</v>
      </c>
      <c r="H4">
        <v>0.68600000000000005</v>
      </c>
      <c r="I4">
        <v>0.28599999999999998</v>
      </c>
      <c r="J4">
        <v>0.34</v>
      </c>
      <c r="K4">
        <v>2018</v>
      </c>
    </row>
    <row r="5" spans="2:11" x14ac:dyDescent="0.35">
      <c r="B5">
        <v>3</v>
      </c>
      <c r="C5" t="s">
        <v>15</v>
      </c>
      <c r="D5">
        <v>7.5549999999999997</v>
      </c>
      <c r="E5">
        <v>1.351</v>
      </c>
      <c r="F5">
        <v>1.59</v>
      </c>
      <c r="G5">
        <v>0.86799999999999999</v>
      </c>
      <c r="H5">
        <v>0.68300000000000005</v>
      </c>
      <c r="I5">
        <v>0.28399999999999997</v>
      </c>
      <c r="J5">
        <v>0.40799999999999997</v>
      </c>
      <c r="K5">
        <v>2018</v>
      </c>
    </row>
    <row r="6" spans="2:11" x14ac:dyDescent="0.35">
      <c r="B6">
        <v>4</v>
      </c>
      <c r="C6" t="s">
        <v>14</v>
      </c>
      <c r="D6">
        <v>7.4950000000000001</v>
      </c>
      <c r="E6">
        <v>1.343</v>
      </c>
      <c r="F6">
        <v>1.6439999999999999</v>
      </c>
      <c r="G6">
        <v>0.91400000000000003</v>
      </c>
      <c r="H6">
        <v>0.67700000000000005</v>
      </c>
      <c r="I6">
        <v>0.35299999999999998</v>
      </c>
      <c r="J6">
        <v>0.13800000000000001</v>
      </c>
      <c r="K6">
        <v>2018</v>
      </c>
    </row>
    <row r="7" spans="2:11" x14ac:dyDescent="0.35">
      <c r="B7">
        <v>5</v>
      </c>
      <c r="C7" t="s">
        <v>12</v>
      </c>
      <c r="D7">
        <v>7.4870000000000001</v>
      </c>
      <c r="E7">
        <v>1.42</v>
      </c>
      <c r="F7">
        <v>1.5489999999999999</v>
      </c>
      <c r="G7">
        <v>0.92700000000000005</v>
      </c>
      <c r="H7">
        <v>0.66</v>
      </c>
      <c r="I7">
        <v>0.25600000000000001</v>
      </c>
      <c r="J7">
        <v>0.35699999999999998</v>
      </c>
      <c r="K7">
        <v>2018</v>
      </c>
    </row>
    <row r="8" spans="2:11" x14ac:dyDescent="0.35">
      <c r="B8">
        <v>6</v>
      </c>
      <c r="C8" t="s">
        <v>20</v>
      </c>
      <c r="D8">
        <v>7.4409999999999998</v>
      </c>
      <c r="E8">
        <v>1.361</v>
      </c>
      <c r="F8">
        <v>1.488</v>
      </c>
      <c r="G8">
        <v>0.878</v>
      </c>
      <c r="H8">
        <v>0.63800000000000001</v>
      </c>
      <c r="I8">
        <v>0.33300000000000002</v>
      </c>
      <c r="J8">
        <v>0.29499999999999998</v>
      </c>
      <c r="K8">
        <v>2018</v>
      </c>
    </row>
    <row r="9" spans="2:11" x14ac:dyDescent="0.35">
      <c r="B9">
        <v>7</v>
      </c>
      <c r="C9" t="s">
        <v>17</v>
      </c>
      <c r="D9">
        <v>7.3280000000000003</v>
      </c>
      <c r="E9">
        <v>1.33</v>
      </c>
      <c r="F9">
        <v>1.532</v>
      </c>
      <c r="G9">
        <v>0.89600000000000002</v>
      </c>
      <c r="H9">
        <v>0.65300000000000002</v>
      </c>
      <c r="I9">
        <v>0.32100000000000001</v>
      </c>
      <c r="J9">
        <v>0.29099999999999998</v>
      </c>
      <c r="K9">
        <v>2018</v>
      </c>
    </row>
    <row r="10" spans="2:11" x14ac:dyDescent="0.35">
      <c r="B10">
        <v>8</v>
      </c>
      <c r="C10" t="s">
        <v>22</v>
      </c>
      <c r="D10">
        <v>7.3239999999999998</v>
      </c>
      <c r="E10">
        <v>1.268</v>
      </c>
      <c r="F10">
        <v>1.601</v>
      </c>
      <c r="G10">
        <v>0.876</v>
      </c>
      <c r="H10">
        <v>0.66900000000000004</v>
      </c>
      <c r="I10">
        <v>0.36499999999999999</v>
      </c>
      <c r="J10">
        <v>0.38900000000000001</v>
      </c>
      <c r="K10">
        <v>2018</v>
      </c>
    </row>
    <row r="11" spans="2:11" x14ac:dyDescent="0.35">
      <c r="B11">
        <v>9</v>
      </c>
      <c r="C11" t="s">
        <v>21</v>
      </c>
      <c r="D11">
        <v>7.3140000000000001</v>
      </c>
      <c r="E11">
        <v>1.355</v>
      </c>
      <c r="F11">
        <v>1.5009999999999999</v>
      </c>
      <c r="G11">
        <v>0.91300000000000003</v>
      </c>
      <c r="H11">
        <v>0.65900000000000003</v>
      </c>
      <c r="I11">
        <v>0.28499999999999998</v>
      </c>
      <c r="J11">
        <v>0.38300000000000001</v>
      </c>
      <c r="K11">
        <v>2018</v>
      </c>
    </row>
    <row r="12" spans="2:11" x14ac:dyDescent="0.35">
      <c r="B12">
        <v>10</v>
      </c>
      <c r="C12" t="s">
        <v>24</v>
      </c>
      <c r="D12">
        <v>7.2720000000000002</v>
      </c>
      <c r="E12">
        <v>1.34</v>
      </c>
      <c r="F12">
        <v>1.573</v>
      </c>
      <c r="G12">
        <v>0.91</v>
      </c>
      <c r="H12">
        <v>0.64700000000000002</v>
      </c>
      <c r="I12">
        <v>0.36099999999999999</v>
      </c>
      <c r="J12">
        <v>0.30199999999999999</v>
      </c>
      <c r="K12">
        <v>2018</v>
      </c>
    </row>
    <row r="13" spans="2:11" x14ac:dyDescent="0.35">
      <c r="B13">
        <v>11</v>
      </c>
      <c r="C13" t="s">
        <v>37</v>
      </c>
      <c r="D13">
        <v>7.19</v>
      </c>
      <c r="E13">
        <v>1.244</v>
      </c>
      <c r="F13">
        <v>1.4330000000000001</v>
      </c>
      <c r="G13">
        <v>0.88800000000000001</v>
      </c>
      <c r="H13">
        <v>0.46400000000000002</v>
      </c>
      <c r="I13">
        <v>0.26200000000000001</v>
      </c>
      <c r="J13">
        <v>8.2000000000000003E-2</v>
      </c>
      <c r="K13">
        <v>2018</v>
      </c>
    </row>
    <row r="14" spans="2:11" x14ac:dyDescent="0.35">
      <c r="B14">
        <v>12</v>
      </c>
      <c r="C14" t="s">
        <v>29</v>
      </c>
      <c r="D14">
        <v>7.1390000000000002</v>
      </c>
      <c r="E14">
        <v>1.341</v>
      </c>
      <c r="F14">
        <v>1.504</v>
      </c>
      <c r="G14">
        <v>0.89100000000000001</v>
      </c>
      <c r="H14">
        <v>0.61699999999999999</v>
      </c>
      <c r="I14">
        <v>0.24199999999999999</v>
      </c>
      <c r="J14">
        <v>0.224</v>
      </c>
      <c r="K14">
        <v>2018</v>
      </c>
    </row>
    <row r="15" spans="2:11" x14ac:dyDescent="0.35">
      <c r="B15">
        <v>13</v>
      </c>
      <c r="C15" t="s">
        <v>27</v>
      </c>
      <c r="D15">
        <v>7.0720000000000001</v>
      </c>
      <c r="E15">
        <v>1.01</v>
      </c>
      <c r="F15">
        <v>1.4590000000000001</v>
      </c>
      <c r="G15">
        <v>0.81699999999999995</v>
      </c>
      <c r="H15">
        <v>0.63200000000000001</v>
      </c>
      <c r="I15">
        <v>0.14299999999999999</v>
      </c>
      <c r="J15">
        <v>0.10100000000000001</v>
      </c>
      <c r="K15">
        <v>2018</v>
      </c>
    </row>
    <row r="16" spans="2:11" x14ac:dyDescent="0.35">
      <c r="B16">
        <v>14</v>
      </c>
      <c r="C16" t="s">
        <v>34</v>
      </c>
      <c r="D16">
        <v>6.9770000000000003</v>
      </c>
      <c r="E16">
        <v>1.448</v>
      </c>
      <c r="F16">
        <v>1.583</v>
      </c>
      <c r="G16">
        <v>0.876</v>
      </c>
      <c r="H16">
        <v>0.61399999999999999</v>
      </c>
      <c r="I16">
        <v>0.307</v>
      </c>
      <c r="J16">
        <v>0.30599999999999999</v>
      </c>
      <c r="K16">
        <v>2018</v>
      </c>
    </row>
    <row r="17" spans="2:11" x14ac:dyDescent="0.35">
      <c r="B17">
        <v>15</v>
      </c>
      <c r="C17" t="s">
        <v>43</v>
      </c>
      <c r="D17">
        <v>6.9649999999999999</v>
      </c>
      <c r="E17">
        <v>1.34</v>
      </c>
      <c r="F17">
        <v>1.474</v>
      </c>
      <c r="G17">
        <v>0.86099999999999999</v>
      </c>
      <c r="H17">
        <v>0.58599999999999997</v>
      </c>
      <c r="I17">
        <v>0.27300000000000002</v>
      </c>
      <c r="J17">
        <v>0.28000000000000003</v>
      </c>
      <c r="K17">
        <v>2018</v>
      </c>
    </row>
    <row r="18" spans="2:11" x14ac:dyDescent="0.35">
      <c r="B18">
        <v>16</v>
      </c>
      <c r="C18" t="s">
        <v>35</v>
      </c>
      <c r="D18">
        <v>6.9269999999999996</v>
      </c>
      <c r="E18">
        <v>1.3240000000000001</v>
      </c>
      <c r="F18">
        <v>1.4830000000000001</v>
      </c>
      <c r="G18">
        <v>0.89400000000000002</v>
      </c>
      <c r="H18">
        <v>0.58299999999999996</v>
      </c>
      <c r="I18">
        <v>0.188</v>
      </c>
      <c r="J18">
        <v>0.24</v>
      </c>
      <c r="K18">
        <v>2018</v>
      </c>
    </row>
    <row r="19" spans="2:11" x14ac:dyDescent="0.35">
      <c r="B19">
        <v>17</v>
      </c>
      <c r="C19" t="s">
        <v>33</v>
      </c>
      <c r="D19">
        <v>6.91</v>
      </c>
      <c r="E19">
        <v>1.5760000000000001</v>
      </c>
      <c r="F19">
        <v>1.52</v>
      </c>
      <c r="G19">
        <v>0.89600000000000002</v>
      </c>
      <c r="H19">
        <v>0.63200000000000001</v>
      </c>
      <c r="I19">
        <v>0.19600000000000001</v>
      </c>
      <c r="J19">
        <v>0.32100000000000001</v>
      </c>
      <c r="K19">
        <v>2018</v>
      </c>
    </row>
    <row r="20" spans="2:11" x14ac:dyDescent="0.35">
      <c r="B20">
        <v>18</v>
      </c>
      <c r="C20" t="s">
        <v>31</v>
      </c>
      <c r="D20">
        <v>6.8860000000000001</v>
      </c>
      <c r="E20">
        <v>1.3979999999999999</v>
      </c>
      <c r="F20">
        <v>1.4710000000000001</v>
      </c>
      <c r="G20">
        <v>0.81899999999999995</v>
      </c>
      <c r="H20">
        <v>0.54700000000000004</v>
      </c>
      <c r="I20">
        <v>0.29099999999999998</v>
      </c>
      <c r="J20">
        <v>0.13300000000000001</v>
      </c>
      <c r="K20">
        <v>2018</v>
      </c>
    </row>
    <row r="21" spans="2:11" x14ac:dyDescent="0.35">
      <c r="B21">
        <v>19</v>
      </c>
      <c r="C21" t="s">
        <v>25</v>
      </c>
      <c r="D21">
        <v>6.8140000000000001</v>
      </c>
      <c r="E21">
        <v>1.3009999999999999</v>
      </c>
      <c r="F21">
        <v>1.5589999999999999</v>
      </c>
      <c r="G21">
        <v>0.88300000000000001</v>
      </c>
      <c r="H21">
        <v>0.53300000000000003</v>
      </c>
      <c r="I21">
        <v>0.35399999999999998</v>
      </c>
      <c r="J21">
        <v>0.27200000000000002</v>
      </c>
      <c r="K21">
        <v>2018</v>
      </c>
    </row>
    <row r="22" spans="2:11" x14ac:dyDescent="0.35">
      <c r="B22">
        <v>20</v>
      </c>
      <c r="C22" t="s">
        <v>36</v>
      </c>
      <c r="D22">
        <v>6.774</v>
      </c>
      <c r="E22">
        <v>2.0960000000000001</v>
      </c>
      <c r="F22">
        <v>0.77600000000000002</v>
      </c>
      <c r="G22">
        <v>0.67</v>
      </c>
      <c r="H22">
        <v>0.28399999999999997</v>
      </c>
      <c r="I22">
        <v>0.186</v>
      </c>
      <c r="J22" t="s">
        <v>231</v>
      </c>
      <c r="K22">
        <v>2018</v>
      </c>
    </row>
    <row r="23" spans="2:11" x14ac:dyDescent="0.35">
      <c r="B23">
        <v>21</v>
      </c>
      <c r="C23" t="s">
        <v>48</v>
      </c>
      <c r="D23">
        <v>6.7110000000000003</v>
      </c>
      <c r="E23">
        <v>1.2330000000000001</v>
      </c>
      <c r="F23">
        <v>1.4890000000000001</v>
      </c>
      <c r="G23">
        <v>0.85399999999999998</v>
      </c>
      <c r="H23">
        <v>0.54300000000000004</v>
      </c>
      <c r="I23">
        <v>6.4000000000000001E-2</v>
      </c>
      <c r="J23">
        <v>3.4000000000000002E-2</v>
      </c>
      <c r="K23">
        <v>2018</v>
      </c>
    </row>
    <row r="24" spans="2:11" x14ac:dyDescent="0.35">
      <c r="B24">
        <v>22</v>
      </c>
      <c r="C24" t="s">
        <v>55</v>
      </c>
      <c r="D24">
        <v>6.6269999999999998</v>
      </c>
      <c r="E24">
        <v>1.27</v>
      </c>
      <c r="F24">
        <v>1.5249999999999999</v>
      </c>
      <c r="G24">
        <v>0.88400000000000001</v>
      </c>
      <c r="H24">
        <v>0.64500000000000002</v>
      </c>
      <c r="I24">
        <v>0.376</v>
      </c>
      <c r="J24">
        <v>0.14199999999999999</v>
      </c>
      <c r="K24">
        <v>2018</v>
      </c>
    </row>
    <row r="25" spans="2:11" x14ac:dyDescent="0.35">
      <c r="B25">
        <v>23</v>
      </c>
      <c r="C25" t="s">
        <v>46</v>
      </c>
      <c r="D25">
        <v>6.4889999999999999</v>
      </c>
      <c r="E25">
        <v>1.2929999999999999</v>
      </c>
      <c r="F25">
        <v>1.466</v>
      </c>
      <c r="G25">
        <v>0.90800000000000003</v>
      </c>
      <c r="H25">
        <v>0.52</v>
      </c>
      <c r="I25">
        <v>9.8000000000000004E-2</v>
      </c>
      <c r="J25">
        <v>0.17599999999999999</v>
      </c>
      <c r="K25">
        <v>2018</v>
      </c>
    </row>
    <row r="26" spans="2:11" x14ac:dyDescent="0.35">
      <c r="B26">
        <v>24</v>
      </c>
      <c r="C26" t="s">
        <v>30</v>
      </c>
      <c r="D26">
        <v>6.4880000000000004</v>
      </c>
      <c r="E26">
        <v>1.038</v>
      </c>
      <c r="F26">
        <v>1.252</v>
      </c>
      <c r="G26">
        <v>0.76100000000000001</v>
      </c>
      <c r="H26">
        <v>0.47899999999999998</v>
      </c>
      <c r="I26">
        <v>6.9000000000000006E-2</v>
      </c>
      <c r="J26">
        <v>9.5000000000000001E-2</v>
      </c>
      <c r="K26">
        <v>2018</v>
      </c>
    </row>
    <row r="27" spans="2:11" x14ac:dyDescent="0.35">
      <c r="B27">
        <v>25</v>
      </c>
      <c r="C27" t="s">
        <v>44</v>
      </c>
      <c r="D27">
        <v>6.476</v>
      </c>
      <c r="E27">
        <v>1.131</v>
      </c>
      <c r="F27">
        <v>1.331</v>
      </c>
      <c r="G27">
        <v>0.80800000000000005</v>
      </c>
      <c r="H27">
        <v>0.43099999999999999</v>
      </c>
      <c r="I27">
        <v>0.19700000000000001</v>
      </c>
      <c r="J27">
        <v>6.0999999999999999E-2</v>
      </c>
      <c r="K27">
        <v>2018</v>
      </c>
    </row>
    <row r="28" spans="2:11" x14ac:dyDescent="0.35">
      <c r="B28">
        <v>26</v>
      </c>
      <c r="C28" t="s">
        <v>56</v>
      </c>
      <c r="D28">
        <v>6.4409999999999998</v>
      </c>
      <c r="E28">
        <v>1.365</v>
      </c>
      <c r="F28">
        <v>1.4359999999999999</v>
      </c>
      <c r="G28">
        <v>0.85699999999999998</v>
      </c>
      <c r="H28">
        <v>0.41799999999999998</v>
      </c>
      <c r="I28">
        <v>0.151</v>
      </c>
      <c r="J28">
        <v>7.8E-2</v>
      </c>
      <c r="K28">
        <v>2018</v>
      </c>
    </row>
    <row r="29" spans="2:11" x14ac:dyDescent="0.35">
      <c r="B29">
        <v>27</v>
      </c>
      <c r="C29" t="s">
        <v>42</v>
      </c>
      <c r="D29">
        <v>6.43</v>
      </c>
      <c r="E29">
        <v>1.1120000000000001</v>
      </c>
      <c r="F29">
        <v>1.4379999999999999</v>
      </c>
      <c r="G29">
        <v>0.75900000000000001</v>
      </c>
      <c r="H29">
        <v>0.59699999999999998</v>
      </c>
      <c r="I29">
        <v>0.125</v>
      </c>
      <c r="J29">
        <v>6.3E-2</v>
      </c>
      <c r="K29">
        <v>2018</v>
      </c>
    </row>
    <row r="30" spans="2:11" x14ac:dyDescent="0.35">
      <c r="B30">
        <v>28</v>
      </c>
      <c r="C30" t="s">
        <v>32</v>
      </c>
      <c r="D30">
        <v>6.4189999999999996</v>
      </c>
      <c r="E30">
        <v>0.98599999999999999</v>
      </c>
      <c r="F30">
        <v>1.474</v>
      </c>
      <c r="G30">
        <v>0.67500000000000004</v>
      </c>
      <c r="H30">
        <v>0.49299999999999999</v>
      </c>
      <c r="I30">
        <v>0.11</v>
      </c>
      <c r="J30">
        <v>8.7999999999999995E-2</v>
      </c>
      <c r="K30">
        <v>2018</v>
      </c>
    </row>
    <row r="31" spans="2:11" x14ac:dyDescent="0.35">
      <c r="B31">
        <v>29</v>
      </c>
      <c r="C31" t="s">
        <v>47</v>
      </c>
      <c r="D31">
        <v>6.3879999999999999</v>
      </c>
      <c r="E31">
        <v>1.073</v>
      </c>
      <c r="F31">
        <v>1.468</v>
      </c>
      <c r="G31">
        <v>0.74399999999999999</v>
      </c>
      <c r="H31">
        <v>0.56999999999999995</v>
      </c>
      <c r="I31">
        <v>6.2E-2</v>
      </c>
      <c r="J31">
        <v>5.3999999999999999E-2</v>
      </c>
      <c r="K31">
        <v>2018</v>
      </c>
    </row>
    <row r="32" spans="2:11" x14ac:dyDescent="0.35">
      <c r="B32">
        <v>30</v>
      </c>
      <c r="C32" t="s">
        <v>62</v>
      </c>
      <c r="D32">
        <v>6.3819999999999997</v>
      </c>
      <c r="E32">
        <v>0.78100000000000003</v>
      </c>
      <c r="F32">
        <v>1.268</v>
      </c>
      <c r="G32">
        <v>0.60799999999999998</v>
      </c>
      <c r="H32">
        <v>0.60399999999999998</v>
      </c>
      <c r="I32">
        <v>0.17899999999999999</v>
      </c>
      <c r="J32">
        <v>7.0999999999999994E-2</v>
      </c>
      <c r="K32">
        <v>2018</v>
      </c>
    </row>
    <row r="33" spans="2:11" x14ac:dyDescent="0.35">
      <c r="B33">
        <v>31</v>
      </c>
      <c r="C33" t="s">
        <v>50</v>
      </c>
      <c r="D33">
        <v>6.3789999999999996</v>
      </c>
      <c r="E33">
        <v>1.093</v>
      </c>
      <c r="F33">
        <v>1.4590000000000001</v>
      </c>
      <c r="G33">
        <v>0.77100000000000002</v>
      </c>
      <c r="H33">
        <v>0.625</v>
      </c>
      <c r="I33">
        <v>0.13</v>
      </c>
      <c r="J33">
        <v>0.155</v>
      </c>
      <c r="K33">
        <v>2018</v>
      </c>
    </row>
    <row r="34" spans="2:11" x14ac:dyDescent="0.35">
      <c r="B34">
        <v>32</v>
      </c>
      <c r="C34" t="s">
        <v>45</v>
      </c>
      <c r="D34">
        <v>6.3739999999999997</v>
      </c>
      <c r="E34">
        <v>1.649</v>
      </c>
      <c r="F34">
        <v>1.3029999999999999</v>
      </c>
      <c r="G34">
        <v>0.748</v>
      </c>
      <c r="H34">
        <v>0.65400000000000003</v>
      </c>
      <c r="I34">
        <v>0.25600000000000001</v>
      </c>
      <c r="J34">
        <v>0.17100000000000001</v>
      </c>
      <c r="K34">
        <v>2018</v>
      </c>
    </row>
    <row r="35" spans="2:11" x14ac:dyDescent="0.35">
      <c r="B35">
        <v>33</v>
      </c>
      <c r="C35" t="s">
        <v>53</v>
      </c>
      <c r="D35">
        <v>6.3710000000000004</v>
      </c>
      <c r="E35">
        <v>1.379</v>
      </c>
      <c r="F35">
        <v>1.331</v>
      </c>
      <c r="G35">
        <v>0.63300000000000001</v>
      </c>
      <c r="H35">
        <v>0.50900000000000001</v>
      </c>
      <c r="I35">
        <v>9.8000000000000004E-2</v>
      </c>
      <c r="J35">
        <v>0.127</v>
      </c>
      <c r="K35">
        <v>2018</v>
      </c>
    </row>
    <row r="36" spans="2:11" x14ac:dyDescent="0.35">
      <c r="B36">
        <v>34</v>
      </c>
      <c r="C36" t="s">
        <v>40</v>
      </c>
      <c r="D36">
        <v>6.343</v>
      </c>
      <c r="E36">
        <v>1.5289999999999999</v>
      </c>
      <c r="F36">
        <v>1.4510000000000001</v>
      </c>
      <c r="G36">
        <v>1.008</v>
      </c>
      <c r="H36">
        <v>0.63100000000000001</v>
      </c>
      <c r="I36">
        <v>0.26100000000000001</v>
      </c>
      <c r="J36">
        <v>0.45700000000000002</v>
      </c>
      <c r="K36">
        <v>2018</v>
      </c>
    </row>
    <row r="37" spans="2:11" x14ac:dyDescent="0.35">
      <c r="B37">
        <v>35</v>
      </c>
      <c r="C37" t="s">
        <v>80</v>
      </c>
      <c r="D37">
        <v>6.3220000000000001</v>
      </c>
      <c r="E37">
        <v>1.161</v>
      </c>
      <c r="F37">
        <v>1.258</v>
      </c>
      <c r="G37">
        <v>0.66900000000000004</v>
      </c>
      <c r="H37">
        <v>0.35599999999999998</v>
      </c>
      <c r="I37">
        <v>0.311</v>
      </c>
      <c r="J37">
        <v>5.8999999999999997E-2</v>
      </c>
      <c r="K37">
        <v>2018</v>
      </c>
    </row>
    <row r="38" spans="2:11" x14ac:dyDescent="0.35">
      <c r="B38">
        <v>36</v>
      </c>
      <c r="C38" t="s">
        <v>54</v>
      </c>
      <c r="D38">
        <v>6.31</v>
      </c>
      <c r="E38">
        <v>1.2509999999999999</v>
      </c>
      <c r="F38">
        <v>1.538</v>
      </c>
      <c r="G38">
        <v>0.96499999999999997</v>
      </c>
      <c r="H38">
        <v>0.44900000000000001</v>
      </c>
      <c r="I38">
        <v>0.14199999999999999</v>
      </c>
      <c r="J38">
        <v>7.3999999999999996E-2</v>
      </c>
      <c r="K38">
        <v>2018</v>
      </c>
    </row>
    <row r="39" spans="2:11" x14ac:dyDescent="0.35">
      <c r="B39">
        <v>37</v>
      </c>
      <c r="C39" t="s">
        <v>51</v>
      </c>
      <c r="D39">
        <v>6.26</v>
      </c>
      <c r="E39">
        <v>0.96</v>
      </c>
      <c r="F39">
        <v>1.4390000000000001</v>
      </c>
      <c r="G39">
        <v>0.63500000000000001</v>
      </c>
      <c r="H39">
        <v>0.53100000000000003</v>
      </c>
      <c r="I39">
        <v>9.9000000000000005E-2</v>
      </c>
      <c r="J39">
        <v>3.9E-2</v>
      </c>
      <c r="K39">
        <v>2018</v>
      </c>
    </row>
    <row r="40" spans="2:11" x14ac:dyDescent="0.35">
      <c r="B40">
        <v>38</v>
      </c>
      <c r="C40" t="s">
        <v>232</v>
      </c>
      <c r="D40">
        <v>6.1920000000000002</v>
      </c>
      <c r="E40">
        <v>1.2230000000000001</v>
      </c>
      <c r="F40">
        <v>1.492</v>
      </c>
      <c r="G40">
        <v>0.56399999999999995</v>
      </c>
      <c r="H40">
        <v>0.57499999999999996</v>
      </c>
      <c r="I40">
        <v>0.17100000000000001</v>
      </c>
      <c r="J40">
        <v>1.9E-2</v>
      </c>
      <c r="K40">
        <v>2018</v>
      </c>
    </row>
    <row r="41" spans="2:11" x14ac:dyDescent="0.35">
      <c r="B41">
        <v>39</v>
      </c>
      <c r="C41" t="s">
        <v>64</v>
      </c>
      <c r="D41">
        <v>6.173</v>
      </c>
      <c r="E41">
        <v>1.21</v>
      </c>
      <c r="F41">
        <v>1.5369999999999999</v>
      </c>
      <c r="G41">
        <v>0.77600000000000002</v>
      </c>
      <c r="H41">
        <v>0.35399999999999998</v>
      </c>
      <c r="I41">
        <v>0.11799999999999999</v>
      </c>
      <c r="J41">
        <v>1.4E-2</v>
      </c>
      <c r="K41">
        <v>2018</v>
      </c>
    </row>
    <row r="42" spans="2:11" x14ac:dyDescent="0.35">
      <c r="B42">
        <v>40</v>
      </c>
      <c r="C42" t="s">
        <v>61</v>
      </c>
      <c r="D42">
        <v>6.1669999999999998</v>
      </c>
      <c r="E42">
        <v>0.80600000000000005</v>
      </c>
      <c r="F42">
        <v>1.2310000000000001</v>
      </c>
      <c r="G42">
        <v>0.63900000000000001</v>
      </c>
      <c r="H42">
        <v>0.46100000000000002</v>
      </c>
      <c r="I42">
        <v>6.5000000000000002E-2</v>
      </c>
      <c r="J42">
        <v>8.2000000000000003E-2</v>
      </c>
      <c r="K42">
        <v>2018</v>
      </c>
    </row>
    <row r="43" spans="2:11" x14ac:dyDescent="0.35">
      <c r="B43">
        <v>41</v>
      </c>
      <c r="C43" t="s">
        <v>76</v>
      </c>
      <c r="D43">
        <v>6.141</v>
      </c>
      <c r="E43">
        <v>0.66800000000000004</v>
      </c>
      <c r="F43">
        <v>1.319</v>
      </c>
      <c r="G43">
        <v>0.7</v>
      </c>
      <c r="H43">
        <v>0.52700000000000002</v>
      </c>
      <c r="I43">
        <v>0.20799999999999999</v>
      </c>
      <c r="J43">
        <v>0.128</v>
      </c>
      <c r="K43">
        <v>2018</v>
      </c>
    </row>
    <row r="44" spans="2:11" x14ac:dyDescent="0.35">
      <c r="B44">
        <v>42</v>
      </c>
      <c r="C44" t="s">
        <v>79</v>
      </c>
      <c r="D44">
        <v>6.1230000000000002</v>
      </c>
      <c r="E44">
        <v>1.1759999999999999</v>
      </c>
      <c r="F44">
        <v>1.448</v>
      </c>
      <c r="G44">
        <v>0.78100000000000003</v>
      </c>
      <c r="H44">
        <v>0.54600000000000004</v>
      </c>
      <c r="I44">
        <v>0.108</v>
      </c>
      <c r="J44">
        <v>6.4000000000000001E-2</v>
      </c>
      <c r="K44">
        <v>2018</v>
      </c>
    </row>
    <row r="45" spans="2:11" x14ac:dyDescent="0.35">
      <c r="B45">
        <v>43</v>
      </c>
      <c r="C45" t="s">
        <v>68</v>
      </c>
      <c r="D45">
        <v>6.1050000000000004</v>
      </c>
      <c r="E45">
        <v>1.3380000000000001</v>
      </c>
      <c r="F45">
        <v>1.3660000000000001</v>
      </c>
      <c r="G45">
        <v>0.69799999999999995</v>
      </c>
      <c r="H45">
        <v>0.59399999999999997</v>
      </c>
      <c r="I45">
        <v>0.24299999999999999</v>
      </c>
      <c r="J45">
        <v>0.123</v>
      </c>
      <c r="K45">
        <v>2018</v>
      </c>
    </row>
    <row r="46" spans="2:11" x14ac:dyDescent="0.35">
      <c r="B46">
        <v>44</v>
      </c>
      <c r="C46" t="s">
        <v>63</v>
      </c>
      <c r="D46">
        <v>6.0960000000000001</v>
      </c>
      <c r="E46">
        <v>0.71899999999999997</v>
      </c>
      <c r="F46">
        <v>1.5840000000000001</v>
      </c>
      <c r="G46">
        <v>0.60499999999999998</v>
      </c>
      <c r="H46">
        <v>0.72399999999999998</v>
      </c>
      <c r="I46">
        <v>0.32800000000000001</v>
      </c>
      <c r="J46">
        <v>0.25900000000000001</v>
      </c>
      <c r="K46">
        <v>2018</v>
      </c>
    </row>
    <row r="47" spans="2:11" x14ac:dyDescent="0.35">
      <c r="B47">
        <v>45</v>
      </c>
      <c r="C47" t="s">
        <v>58</v>
      </c>
      <c r="D47">
        <v>6.0830000000000002</v>
      </c>
      <c r="E47">
        <v>1.474</v>
      </c>
      <c r="F47">
        <v>1.3009999999999999</v>
      </c>
      <c r="G47">
        <v>0.67500000000000004</v>
      </c>
      <c r="H47">
        <v>0.55400000000000005</v>
      </c>
      <c r="I47">
        <v>0.16700000000000001</v>
      </c>
      <c r="J47">
        <v>0.106</v>
      </c>
      <c r="K47">
        <v>2018</v>
      </c>
    </row>
    <row r="48" spans="2:11" x14ac:dyDescent="0.35">
      <c r="B48">
        <v>46</v>
      </c>
      <c r="C48" t="s">
        <v>52</v>
      </c>
      <c r="D48">
        <v>6.0720000000000001</v>
      </c>
      <c r="E48">
        <v>1.016</v>
      </c>
      <c r="F48">
        <v>1.417</v>
      </c>
      <c r="G48">
        <v>0.70699999999999996</v>
      </c>
      <c r="H48">
        <v>0.63700000000000001</v>
      </c>
      <c r="I48">
        <v>0.36399999999999999</v>
      </c>
      <c r="J48">
        <v>2.9000000000000001E-2</v>
      </c>
      <c r="K48">
        <v>2018</v>
      </c>
    </row>
    <row r="49" spans="2:11" x14ac:dyDescent="0.35">
      <c r="B49">
        <v>47</v>
      </c>
      <c r="C49" t="s">
        <v>69</v>
      </c>
      <c r="D49">
        <v>6</v>
      </c>
      <c r="E49">
        <v>1.264</v>
      </c>
      <c r="F49">
        <v>1.5009999999999999</v>
      </c>
      <c r="G49">
        <v>0.94599999999999995</v>
      </c>
      <c r="H49">
        <v>0.28100000000000003</v>
      </c>
      <c r="I49">
        <v>0.13700000000000001</v>
      </c>
      <c r="J49">
        <v>2.8000000000000001E-2</v>
      </c>
      <c r="K49">
        <v>2018</v>
      </c>
    </row>
    <row r="50" spans="2:11" x14ac:dyDescent="0.35">
      <c r="B50">
        <v>48</v>
      </c>
      <c r="C50" t="s">
        <v>67</v>
      </c>
      <c r="D50">
        <v>5.9729999999999999</v>
      </c>
      <c r="E50">
        <v>0.88900000000000001</v>
      </c>
      <c r="F50">
        <v>1.33</v>
      </c>
      <c r="G50">
        <v>0.73599999999999999</v>
      </c>
      <c r="H50">
        <v>0.55600000000000005</v>
      </c>
      <c r="I50">
        <v>0.114</v>
      </c>
      <c r="J50">
        <v>0.12</v>
      </c>
      <c r="K50">
        <v>2018</v>
      </c>
    </row>
    <row r="51" spans="2:11" x14ac:dyDescent="0.35">
      <c r="B51">
        <v>49</v>
      </c>
      <c r="C51" t="s">
        <v>208</v>
      </c>
      <c r="D51">
        <v>5.9560000000000004</v>
      </c>
      <c r="E51">
        <v>0.80700000000000005</v>
      </c>
      <c r="F51">
        <v>1.101</v>
      </c>
      <c r="G51">
        <v>0.47399999999999998</v>
      </c>
      <c r="H51">
        <v>0.59299999999999997</v>
      </c>
      <c r="I51">
        <v>0.183</v>
      </c>
      <c r="J51">
        <v>8.8999999999999996E-2</v>
      </c>
      <c r="K51">
        <v>2018</v>
      </c>
    </row>
    <row r="52" spans="2:11" x14ac:dyDescent="0.35">
      <c r="B52">
        <v>50</v>
      </c>
      <c r="C52" t="s">
        <v>75</v>
      </c>
      <c r="D52">
        <v>5.952</v>
      </c>
      <c r="E52">
        <v>1.1970000000000001</v>
      </c>
      <c r="F52">
        <v>1.5269999999999999</v>
      </c>
      <c r="G52">
        <v>0.71599999999999997</v>
      </c>
      <c r="H52">
        <v>0.35</v>
      </c>
      <c r="I52">
        <v>2.5999999999999999E-2</v>
      </c>
      <c r="J52">
        <v>6.0000000000000001E-3</v>
      </c>
      <c r="K52">
        <v>2018</v>
      </c>
    </row>
    <row r="53" spans="2:11" x14ac:dyDescent="0.35">
      <c r="B53">
        <v>51</v>
      </c>
      <c r="C53" t="s">
        <v>74</v>
      </c>
      <c r="D53">
        <v>5.9480000000000004</v>
      </c>
      <c r="E53">
        <v>1.2190000000000001</v>
      </c>
      <c r="F53">
        <v>1.506</v>
      </c>
      <c r="G53">
        <v>0.85599999999999998</v>
      </c>
      <c r="H53">
        <v>0.63300000000000001</v>
      </c>
      <c r="I53">
        <v>0.16</v>
      </c>
      <c r="J53">
        <v>5.0999999999999997E-2</v>
      </c>
      <c r="K53">
        <v>2018</v>
      </c>
    </row>
    <row r="54" spans="2:11" x14ac:dyDescent="0.35">
      <c r="B54">
        <v>52</v>
      </c>
      <c r="C54" t="s">
        <v>107</v>
      </c>
      <c r="D54">
        <v>5.9450000000000003</v>
      </c>
      <c r="E54">
        <v>1.1160000000000001</v>
      </c>
      <c r="F54">
        <v>1.2190000000000001</v>
      </c>
      <c r="G54">
        <v>0.72599999999999998</v>
      </c>
      <c r="H54">
        <v>0.52800000000000002</v>
      </c>
      <c r="I54">
        <v>8.7999999999999995E-2</v>
      </c>
      <c r="J54">
        <v>1E-3</v>
      </c>
      <c r="K54">
        <v>2018</v>
      </c>
    </row>
    <row r="55" spans="2:11" x14ac:dyDescent="0.35">
      <c r="B55">
        <v>53</v>
      </c>
      <c r="C55" t="s">
        <v>110</v>
      </c>
      <c r="D55">
        <v>5.9329999999999998</v>
      </c>
      <c r="E55">
        <v>1.1479999999999999</v>
      </c>
      <c r="F55">
        <v>1.454</v>
      </c>
      <c r="G55">
        <v>0.67100000000000004</v>
      </c>
      <c r="H55">
        <v>0.36299999999999999</v>
      </c>
      <c r="I55">
        <v>9.1999999999999998E-2</v>
      </c>
      <c r="J55">
        <v>6.6000000000000003E-2</v>
      </c>
      <c r="K55">
        <v>2018</v>
      </c>
    </row>
    <row r="56" spans="2:11" x14ac:dyDescent="0.35">
      <c r="B56">
        <v>54</v>
      </c>
      <c r="C56" t="s">
        <v>65</v>
      </c>
      <c r="D56">
        <v>5.915</v>
      </c>
      <c r="E56">
        <v>1.294</v>
      </c>
      <c r="F56">
        <v>1.462</v>
      </c>
      <c r="G56">
        <v>0.98799999999999999</v>
      </c>
      <c r="H56">
        <v>0.55300000000000005</v>
      </c>
      <c r="I56">
        <v>7.9000000000000001E-2</v>
      </c>
      <c r="J56">
        <v>0.15</v>
      </c>
      <c r="K56">
        <v>2018</v>
      </c>
    </row>
    <row r="57" spans="2:11" x14ac:dyDescent="0.35">
      <c r="B57">
        <v>55</v>
      </c>
      <c r="C57" t="s">
        <v>90</v>
      </c>
      <c r="D57">
        <v>5.891</v>
      </c>
      <c r="E57">
        <v>1.0900000000000001</v>
      </c>
      <c r="F57">
        <v>1.387</v>
      </c>
      <c r="G57">
        <v>0.68400000000000005</v>
      </c>
      <c r="H57">
        <v>0.58399999999999996</v>
      </c>
      <c r="I57">
        <v>0.245</v>
      </c>
      <c r="J57">
        <v>0.05</v>
      </c>
      <c r="K57">
        <v>2018</v>
      </c>
    </row>
    <row r="58" spans="2:11" x14ac:dyDescent="0.35">
      <c r="B58">
        <v>56</v>
      </c>
      <c r="C58" t="s">
        <v>84</v>
      </c>
      <c r="D58">
        <v>5.89</v>
      </c>
      <c r="E58">
        <v>0.81899999999999995</v>
      </c>
      <c r="F58">
        <v>1.4930000000000001</v>
      </c>
      <c r="G58">
        <v>0.69299999999999995</v>
      </c>
      <c r="H58">
        <v>0.57499999999999996</v>
      </c>
      <c r="I58">
        <v>9.6000000000000002E-2</v>
      </c>
      <c r="J58">
        <v>3.1E-2</v>
      </c>
      <c r="K58">
        <v>2018</v>
      </c>
    </row>
    <row r="59" spans="2:11" x14ac:dyDescent="0.35">
      <c r="B59">
        <v>57</v>
      </c>
      <c r="C59" t="s">
        <v>66</v>
      </c>
      <c r="D59">
        <v>5.875</v>
      </c>
      <c r="E59">
        <v>1.266</v>
      </c>
      <c r="F59">
        <v>1.204</v>
      </c>
      <c r="G59">
        <v>0.95499999999999996</v>
      </c>
      <c r="H59">
        <v>0.24399999999999999</v>
      </c>
      <c r="I59">
        <v>0.17499999999999999</v>
      </c>
      <c r="J59">
        <v>5.0999999999999997E-2</v>
      </c>
      <c r="K59">
        <v>2018</v>
      </c>
    </row>
    <row r="60" spans="2:11" x14ac:dyDescent="0.35">
      <c r="B60">
        <v>58</v>
      </c>
      <c r="C60" t="s">
        <v>233</v>
      </c>
      <c r="D60">
        <v>5.835</v>
      </c>
      <c r="E60">
        <v>1.2290000000000001</v>
      </c>
      <c r="F60">
        <v>1.2110000000000001</v>
      </c>
      <c r="G60">
        <v>0.90900000000000003</v>
      </c>
      <c r="H60">
        <v>0.495</v>
      </c>
      <c r="I60">
        <v>0.17899999999999999</v>
      </c>
      <c r="J60">
        <v>0.154</v>
      </c>
      <c r="K60">
        <v>2018</v>
      </c>
    </row>
    <row r="61" spans="2:11" x14ac:dyDescent="0.35">
      <c r="B61">
        <v>59</v>
      </c>
      <c r="C61" t="s">
        <v>83</v>
      </c>
      <c r="D61">
        <v>5.81</v>
      </c>
      <c r="E61">
        <v>1.151</v>
      </c>
      <c r="F61">
        <v>1.4790000000000001</v>
      </c>
      <c r="G61">
        <v>0.59899999999999998</v>
      </c>
      <c r="H61">
        <v>0.39900000000000002</v>
      </c>
      <c r="I61">
        <v>6.5000000000000002E-2</v>
      </c>
      <c r="J61">
        <v>2.5000000000000001E-2</v>
      </c>
      <c r="K61">
        <v>2018</v>
      </c>
    </row>
    <row r="62" spans="2:11" x14ac:dyDescent="0.35">
      <c r="B62">
        <v>60</v>
      </c>
      <c r="C62" t="s">
        <v>73</v>
      </c>
      <c r="D62">
        <v>5.79</v>
      </c>
      <c r="E62">
        <v>1.143</v>
      </c>
      <c r="F62">
        <v>1.516</v>
      </c>
      <c r="G62">
        <v>0.63100000000000001</v>
      </c>
      <c r="H62">
        <v>0.45400000000000001</v>
      </c>
      <c r="I62">
        <v>0.14799999999999999</v>
      </c>
      <c r="J62">
        <v>0.121</v>
      </c>
      <c r="K62">
        <v>2018</v>
      </c>
    </row>
    <row r="63" spans="2:11" x14ac:dyDescent="0.35">
      <c r="B63">
        <v>61</v>
      </c>
      <c r="C63" t="s">
        <v>86</v>
      </c>
      <c r="D63">
        <v>5.7619999999999996</v>
      </c>
      <c r="E63">
        <v>1.2290000000000001</v>
      </c>
      <c r="F63">
        <v>1.1910000000000001</v>
      </c>
      <c r="G63">
        <v>0.90900000000000003</v>
      </c>
      <c r="H63">
        <v>0.42299999999999999</v>
      </c>
      <c r="I63">
        <v>0.20200000000000001</v>
      </c>
      <c r="J63">
        <v>3.5000000000000003E-2</v>
      </c>
      <c r="K63">
        <v>2018</v>
      </c>
    </row>
    <row r="64" spans="2:11" x14ac:dyDescent="0.35">
      <c r="B64">
        <v>62</v>
      </c>
      <c r="C64" t="s">
        <v>70</v>
      </c>
      <c r="D64">
        <v>5.7519999999999998</v>
      </c>
      <c r="E64">
        <v>0.751</v>
      </c>
      <c r="F64">
        <v>1.2230000000000001</v>
      </c>
      <c r="G64">
        <v>0.50800000000000001</v>
      </c>
      <c r="H64">
        <v>0.60599999999999998</v>
      </c>
      <c r="I64">
        <v>0.14099999999999999</v>
      </c>
      <c r="J64">
        <v>5.3999999999999999E-2</v>
      </c>
      <c r="K64">
        <v>2018</v>
      </c>
    </row>
    <row r="65" spans="2:11" x14ac:dyDescent="0.35">
      <c r="B65">
        <v>63</v>
      </c>
      <c r="C65" t="s">
        <v>93</v>
      </c>
      <c r="D65">
        <v>5.7389999999999999</v>
      </c>
      <c r="E65">
        <v>1.2</v>
      </c>
      <c r="F65">
        <v>1.532</v>
      </c>
      <c r="G65">
        <v>0.73699999999999999</v>
      </c>
      <c r="H65">
        <v>0.55300000000000005</v>
      </c>
      <c r="I65">
        <v>8.5999999999999993E-2</v>
      </c>
      <c r="J65">
        <v>0.17399999999999999</v>
      </c>
      <c r="K65">
        <v>2018</v>
      </c>
    </row>
    <row r="66" spans="2:11" x14ac:dyDescent="0.35">
      <c r="B66">
        <v>64</v>
      </c>
      <c r="C66" t="s">
        <v>72</v>
      </c>
      <c r="D66">
        <v>5.681</v>
      </c>
      <c r="E66">
        <v>0.83499999999999996</v>
      </c>
      <c r="F66">
        <v>1.522</v>
      </c>
      <c r="G66">
        <v>0.61499999999999999</v>
      </c>
      <c r="H66">
        <v>0.54100000000000004</v>
      </c>
      <c r="I66">
        <v>0.16200000000000001</v>
      </c>
      <c r="J66">
        <v>7.3999999999999996E-2</v>
      </c>
      <c r="K66">
        <v>2018</v>
      </c>
    </row>
    <row r="67" spans="2:11" x14ac:dyDescent="0.35">
      <c r="B67">
        <v>65</v>
      </c>
      <c r="C67" t="s">
        <v>77</v>
      </c>
      <c r="D67">
        <v>5.6630000000000003</v>
      </c>
      <c r="E67">
        <v>0.93400000000000005</v>
      </c>
      <c r="F67">
        <v>1.2490000000000001</v>
      </c>
      <c r="G67">
        <v>0.67400000000000004</v>
      </c>
      <c r="H67">
        <v>0.53</v>
      </c>
      <c r="I67">
        <v>9.1999999999999998E-2</v>
      </c>
      <c r="J67">
        <v>3.4000000000000002E-2</v>
      </c>
      <c r="K67">
        <v>2018</v>
      </c>
    </row>
    <row r="68" spans="2:11" x14ac:dyDescent="0.35">
      <c r="B68">
        <v>66</v>
      </c>
      <c r="C68" t="s">
        <v>88</v>
      </c>
      <c r="D68">
        <v>5.6619999999999999</v>
      </c>
      <c r="E68">
        <v>0.85499999999999998</v>
      </c>
      <c r="F68">
        <v>1.23</v>
      </c>
      <c r="G68">
        <v>0.57799999999999996</v>
      </c>
      <c r="H68">
        <v>0.44800000000000001</v>
      </c>
      <c r="I68">
        <v>0.27400000000000002</v>
      </c>
      <c r="J68">
        <v>2.3E-2</v>
      </c>
      <c r="K68">
        <v>2018</v>
      </c>
    </row>
    <row r="69" spans="2:11" x14ac:dyDescent="0.35">
      <c r="B69">
        <v>67</v>
      </c>
      <c r="C69" t="s">
        <v>71</v>
      </c>
      <c r="D69">
        <v>5.64</v>
      </c>
      <c r="E69">
        <v>0.65700000000000003</v>
      </c>
      <c r="F69">
        <v>1.3009999999999999</v>
      </c>
      <c r="G69">
        <v>0.62</v>
      </c>
      <c r="H69">
        <v>0.23200000000000001</v>
      </c>
      <c r="I69">
        <v>0.17100000000000001</v>
      </c>
      <c r="J69">
        <v>0</v>
      </c>
      <c r="K69">
        <v>2018</v>
      </c>
    </row>
    <row r="70" spans="2:11" x14ac:dyDescent="0.35">
      <c r="B70">
        <v>68</v>
      </c>
      <c r="C70" t="s">
        <v>89</v>
      </c>
      <c r="D70">
        <v>5.6360000000000001</v>
      </c>
      <c r="E70">
        <v>1.016</v>
      </c>
      <c r="F70">
        <v>1.5329999999999999</v>
      </c>
      <c r="G70">
        <v>0.51700000000000002</v>
      </c>
      <c r="H70">
        <v>0.41699999999999998</v>
      </c>
      <c r="I70">
        <v>0.19900000000000001</v>
      </c>
      <c r="J70">
        <v>3.6999999999999998E-2</v>
      </c>
      <c r="K70">
        <v>2018</v>
      </c>
    </row>
    <row r="71" spans="2:11" x14ac:dyDescent="0.35">
      <c r="B71">
        <v>69</v>
      </c>
      <c r="C71" t="s">
        <v>125</v>
      </c>
      <c r="D71">
        <v>5.62</v>
      </c>
      <c r="E71">
        <v>1.171</v>
      </c>
      <c r="F71">
        <v>1.401</v>
      </c>
      <c r="G71">
        <v>0.73199999999999998</v>
      </c>
      <c r="H71">
        <v>0.25900000000000001</v>
      </c>
      <c r="I71">
        <v>6.0999999999999999E-2</v>
      </c>
      <c r="J71">
        <v>2.1999999999999999E-2</v>
      </c>
      <c r="K71">
        <v>2018</v>
      </c>
    </row>
    <row r="72" spans="2:11" x14ac:dyDescent="0.35">
      <c r="B72">
        <v>70</v>
      </c>
      <c r="C72" t="s">
        <v>82</v>
      </c>
      <c r="D72">
        <v>5.5659999999999998</v>
      </c>
      <c r="E72">
        <v>0.98499999999999999</v>
      </c>
      <c r="F72">
        <v>1.35</v>
      </c>
      <c r="G72">
        <v>0.55300000000000005</v>
      </c>
      <c r="H72">
        <v>0.496</v>
      </c>
      <c r="I72">
        <v>0.11600000000000001</v>
      </c>
      <c r="J72">
        <v>0.14799999999999999</v>
      </c>
      <c r="K72">
        <v>2018</v>
      </c>
    </row>
    <row r="73" spans="2:11" x14ac:dyDescent="0.35">
      <c r="B73">
        <v>71</v>
      </c>
      <c r="C73" t="s">
        <v>111</v>
      </c>
      <c r="D73">
        <v>5.524</v>
      </c>
      <c r="E73">
        <v>0.77500000000000002</v>
      </c>
      <c r="F73">
        <v>1.3120000000000001</v>
      </c>
      <c r="G73">
        <v>0.51300000000000001</v>
      </c>
      <c r="H73">
        <v>0.64300000000000002</v>
      </c>
      <c r="I73">
        <v>0.12</v>
      </c>
      <c r="J73">
        <v>0.105</v>
      </c>
      <c r="K73">
        <v>2018</v>
      </c>
    </row>
    <row r="74" spans="2:11" x14ac:dyDescent="0.35">
      <c r="B74">
        <v>72</v>
      </c>
      <c r="C74" t="s">
        <v>126</v>
      </c>
      <c r="D74">
        <v>5.5039999999999996</v>
      </c>
      <c r="E74">
        <v>0.62</v>
      </c>
      <c r="F74">
        <v>1.2050000000000001</v>
      </c>
      <c r="G74">
        <v>0.622</v>
      </c>
      <c r="H74">
        <v>0.45900000000000002</v>
      </c>
      <c r="I74">
        <v>0.19700000000000001</v>
      </c>
      <c r="J74">
        <v>7.3999999999999996E-2</v>
      </c>
      <c r="K74">
        <v>2018</v>
      </c>
    </row>
    <row r="75" spans="2:11" x14ac:dyDescent="0.35">
      <c r="B75">
        <v>73</v>
      </c>
      <c r="C75" t="s">
        <v>78</v>
      </c>
      <c r="D75">
        <v>5.4829999999999997</v>
      </c>
      <c r="E75">
        <v>1.0389999999999999</v>
      </c>
      <c r="F75">
        <v>1.498</v>
      </c>
      <c r="G75">
        <v>0.7</v>
      </c>
      <c r="H75">
        <v>0.307</v>
      </c>
      <c r="I75">
        <v>0.10100000000000001</v>
      </c>
      <c r="J75">
        <v>0.154</v>
      </c>
      <c r="K75">
        <v>2018</v>
      </c>
    </row>
    <row r="76" spans="2:11" x14ac:dyDescent="0.35">
      <c r="B76">
        <v>74</v>
      </c>
      <c r="C76" t="s">
        <v>96</v>
      </c>
      <c r="D76">
        <v>5.4829999999999997</v>
      </c>
      <c r="E76">
        <v>1.1479999999999999</v>
      </c>
      <c r="F76">
        <v>1.38</v>
      </c>
      <c r="G76">
        <v>0.68600000000000005</v>
      </c>
      <c r="H76">
        <v>0.32400000000000001</v>
      </c>
      <c r="I76">
        <v>0.106</v>
      </c>
      <c r="J76">
        <v>0.109</v>
      </c>
      <c r="K76">
        <v>2018</v>
      </c>
    </row>
    <row r="77" spans="2:11" x14ac:dyDescent="0.35">
      <c r="B77">
        <v>75</v>
      </c>
      <c r="C77" t="s">
        <v>102</v>
      </c>
      <c r="D77">
        <v>5.4720000000000004</v>
      </c>
      <c r="E77">
        <v>0.65200000000000002</v>
      </c>
      <c r="F77">
        <v>0.81</v>
      </c>
      <c r="G77">
        <v>0.42399999999999999</v>
      </c>
      <c r="H77">
        <v>0.33400000000000002</v>
      </c>
      <c r="I77">
        <v>0.216</v>
      </c>
      <c r="J77">
        <v>0.113</v>
      </c>
      <c r="K77">
        <v>2018</v>
      </c>
    </row>
    <row r="78" spans="2:11" x14ac:dyDescent="0.35">
      <c r="B78">
        <v>76</v>
      </c>
      <c r="C78" t="s">
        <v>92</v>
      </c>
      <c r="D78">
        <v>5.43</v>
      </c>
      <c r="E78">
        <v>1.405</v>
      </c>
      <c r="F78">
        <v>1.29</v>
      </c>
      <c r="G78">
        <v>1.03</v>
      </c>
      <c r="H78">
        <v>0.52400000000000002</v>
      </c>
      <c r="I78">
        <v>0.246</v>
      </c>
      <c r="J78">
        <v>0.29099999999999998</v>
      </c>
      <c r="K78">
        <v>2018</v>
      </c>
    </row>
    <row r="79" spans="2:11" x14ac:dyDescent="0.35">
      <c r="B79">
        <v>77</v>
      </c>
      <c r="C79" t="s">
        <v>109</v>
      </c>
      <c r="D79">
        <v>5.41</v>
      </c>
      <c r="E79">
        <v>1.1879999999999999</v>
      </c>
      <c r="F79">
        <v>1.429</v>
      </c>
      <c r="G79">
        <v>0.88400000000000001</v>
      </c>
      <c r="H79">
        <v>0.56200000000000006</v>
      </c>
      <c r="I79">
        <v>5.5E-2</v>
      </c>
      <c r="J79">
        <v>1.7000000000000001E-2</v>
      </c>
      <c r="K79">
        <v>2018</v>
      </c>
    </row>
    <row r="80" spans="2:11" x14ac:dyDescent="0.35">
      <c r="B80">
        <v>78</v>
      </c>
      <c r="C80" t="s">
        <v>108</v>
      </c>
      <c r="D80">
        <v>5.3979999999999997</v>
      </c>
      <c r="E80">
        <v>0.97499999999999998</v>
      </c>
      <c r="F80">
        <v>1.369</v>
      </c>
      <c r="G80">
        <v>0.68500000000000005</v>
      </c>
      <c r="H80">
        <v>0.28799999999999998</v>
      </c>
      <c r="I80">
        <v>0.13400000000000001</v>
      </c>
      <c r="J80">
        <v>4.2999999999999997E-2</v>
      </c>
      <c r="K80">
        <v>2018</v>
      </c>
    </row>
    <row r="81" spans="2:11" x14ac:dyDescent="0.35">
      <c r="B81">
        <v>79</v>
      </c>
      <c r="C81" t="s">
        <v>123</v>
      </c>
      <c r="D81">
        <v>5.3579999999999997</v>
      </c>
      <c r="E81">
        <v>1.1539999999999999</v>
      </c>
      <c r="F81">
        <v>1.202</v>
      </c>
      <c r="G81">
        <v>0.879</v>
      </c>
      <c r="H81">
        <v>0.13100000000000001</v>
      </c>
      <c r="I81">
        <v>0</v>
      </c>
      <c r="J81">
        <v>4.3999999999999997E-2</v>
      </c>
      <c r="K81">
        <v>2018</v>
      </c>
    </row>
    <row r="82" spans="2:11" x14ac:dyDescent="0.35">
      <c r="B82">
        <v>80</v>
      </c>
      <c r="C82" t="s">
        <v>124</v>
      </c>
      <c r="D82">
        <v>5.3579999999999997</v>
      </c>
      <c r="E82">
        <v>0.96499999999999997</v>
      </c>
      <c r="F82">
        <v>1.179</v>
      </c>
      <c r="G82">
        <v>0.78500000000000003</v>
      </c>
      <c r="H82">
        <v>0.503</v>
      </c>
      <c r="I82">
        <v>0.214</v>
      </c>
      <c r="J82">
        <v>0.13600000000000001</v>
      </c>
      <c r="K82">
        <v>2018</v>
      </c>
    </row>
    <row r="83" spans="2:11" x14ac:dyDescent="0.35">
      <c r="B83">
        <v>81</v>
      </c>
      <c r="C83" t="s">
        <v>104</v>
      </c>
      <c r="D83">
        <v>5.3470000000000004</v>
      </c>
      <c r="E83">
        <v>1.0169999999999999</v>
      </c>
      <c r="F83">
        <v>1.2789999999999999</v>
      </c>
      <c r="G83">
        <v>0.72899999999999998</v>
      </c>
      <c r="H83">
        <v>0.25900000000000001</v>
      </c>
      <c r="I83">
        <v>0.111</v>
      </c>
      <c r="J83">
        <v>8.1000000000000003E-2</v>
      </c>
      <c r="K83">
        <v>2018</v>
      </c>
    </row>
    <row r="84" spans="2:11" x14ac:dyDescent="0.35">
      <c r="B84">
        <v>82</v>
      </c>
      <c r="C84" t="s">
        <v>81</v>
      </c>
      <c r="D84">
        <v>5.3209999999999997</v>
      </c>
      <c r="E84">
        <v>1.115</v>
      </c>
      <c r="F84">
        <v>1.161</v>
      </c>
      <c r="G84">
        <v>0.73699999999999999</v>
      </c>
      <c r="H84">
        <v>0.38</v>
      </c>
      <c r="I84">
        <v>0.12</v>
      </c>
      <c r="J84">
        <v>3.9E-2</v>
      </c>
      <c r="K84">
        <v>2018</v>
      </c>
    </row>
    <row r="85" spans="2:11" x14ac:dyDescent="0.35">
      <c r="B85">
        <v>83</v>
      </c>
      <c r="C85" t="s">
        <v>119</v>
      </c>
      <c r="D85">
        <v>5.3019999999999996</v>
      </c>
      <c r="E85">
        <v>0.98199999999999998</v>
      </c>
      <c r="F85">
        <v>1.4410000000000001</v>
      </c>
      <c r="G85">
        <v>0.61399999999999999</v>
      </c>
      <c r="H85">
        <v>0.57799999999999996</v>
      </c>
      <c r="I85">
        <v>0.12</v>
      </c>
      <c r="J85">
        <v>0.106</v>
      </c>
      <c r="K85">
        <v>2018</v>
      </c>
    </row>
    <row r="86" spans="2:11" x14ac:dyDescent="0.35">
      <c r="B86">
        <v>84</v>
      </c>
      <c r="C86" t="s">
        <v>87</v>
      </c>
      <c r="D86">
        <v>5.2949999999999999</v>
      </c>
      <c r="E86">
        <v>0.97899999999999998</v>
      </c>
      <c r="F86">
        <v>1.1539999999999999</v>
      </c>
      <c r="G86">
        <v>0.68700000000000006</v>
      </c>
      <c r="H86">
        <v>7.6999999999999999E-2</v>
      </c>
      <c r="I86">
        <v>5.5E-2</v>
      </c>
      <c r="J86">
        <v>0.13500000000000001</v>
      </c>
      <c r="K86">
        <v>2018</v>
      </c>
    </row>
    <row r="87" spans="2:11" x14ac:dyDescent="0.35">
      <c r="B87">
        <v>85</v>
      </c>
      <c r="C87" t="s">
        <v>113</v>
      </c>
      <c r="D87">
        <v>5.2539999999999996</v>
      </c>
      <c r="E87">
        <v>0.77900000000000003</v>
      </c>
      <c r="F87">
        <v>0.79700000000000004</v>
      </c>
      <c r="G87">
        <v>0.66900000000000004</v>
      </c>
      <c r="H87">
        <v>0.46</v>
      </c>
      <c r="I87">
        <v>2.5999999999999999E-2</v>
      </c>
      <c r="J87">
        <v>7.3999999999999996E-2</v>
      </c>
      <c r="K87">
        <v>2018</v>
      </c>
    </row>
    <row r="88" spans="2:11" x14ac:dyDescent="0.35">
      <c r="B88">
        <v>86</v>
      </c>
      <c r="C88" t="s">
        <v>105</v>
      </c>
      <c r="D88">
        <v>5.2460000000000004</v>
      </c>
      <c r="E88">
        <v>0.98899999999999999</v>
      </c>
      <c r="F88">
        <v>1.1419999999999999</v>
      </c>
      <c r="G88">
        <v>0.79900000000000004</v>
      </c>
      <c r="H88">
        <v>0.59699999999999998</v>
      </c>
      <c r="I88">
        <v>2.9000000000000001E-2</v>
      </c>
      <c r="J88">
        <v>0.10299999999999999</v>
      </c>
      <c r="K88">
        <v>2018</v>
      </c>
    </row>
    <row r="89" spans="2:11" x14ac:dyDescent="0.35">
      <c r="B89">
        <v>87</v>
      </c>
      <c r="C89" t="s">
        <v>101</v>
      </c>
      <c r="D89">
        <v>5.2009999999999996</v>
      </c>
      <c r="E89">
        <v>1.024</v>
      </c>
      <c r="F89">
        <v>1.161</v>
      </c>
      <c r="G89">
        <v>0.60299999999999998</v>
      </c>
      <c r="H89">
        <v>0.43</v>
      </c>
      <c r="I89">
        <v>3.1E-2</v>
      </c>
      <c r="J89">
        <v>0.17599999999999999</v>
      </c>
      <c r="K89">
        <v>2018</v>
      </c>
    </row>
    <row r="90" spans="2:11" x14ac:dyDescent="0.35">
      <c r="B90">
        <v>88</v>
      </c>
      <c r="C90" t="s">
        <v>127</v>
      </c>
      <c r="D90">
        <v>5.1989999999999998</v>
      </c>
      <c r="E90">
        <v>0.47399999999999998</v>
      </c>
      <c r="F90">
        <v>1.1659999999999999</v>
      </c>
      <c r="G90">
        <v>0.59799999999999998</v>
      </c>
      <c r="H90">
        <v>0.29199999999999998</v>
      </c>
      <c r="I90">
        <v>0.187</v>
      </c>
      <c r="J90">
        <v>3.4000000000000002E-2</v>
      </c>
      <c r="K90">
        <v>2018</v>
      </c>
    </row>
    <row r="91" spans="2:11" x14ac:dyDescent="0.35">
      <c r="B91">
        <v>89</v>
      </c>
      <c r="C91" t="s">
        <v>114</v>
      </c>
      <c r="D91">
        <v>5.1849999999999996</v>
      </c>
      <c r="E91">
        <v>0.95899999999999996</v>
      </c>
      <c r="F91">
        <v>1.2390000000000001</v>
      </c>
      <c r="G91">
        <v>0.69099999999999995</v>
      </c>
      <c r="H91">
        <v>0.39400000000000002</v>
      </c>
      <c r="I91">
        <v>0.17299999999999999</v>
      </c>
      <c r="J91">
        <v>5.1999999999999998E-2</v>
      </c>
      <c r="K91">
        <v>2018</v>
      </c>
    </row>
    <row r="92" spans="2:11" x14ac:dyDescent="0.35">
      <c r="B92">
        <v>90</v>
      </c>
      <c r="C92" t="s">
        <v>103</v>
      </c>
      <c r="D92">
        <v>5.1609999999999996</v>
      </c>
      <c r="E92">
        <v>0.82199999999999995</v>
      </c>
      <c r="F92">
        <v>1.2649999999999999</v>
      </c>
      <c r="G92">
        <v>0.64500000000000002</v>
      </c>
      <c r="H92">
        <v>0.46800000000000003</v>
      </c>
      <c r="I92">
        <v>0.13</v>
      </c>
      <c r="J92">
        <v>0.13400000000000001</v>
      </c>
      <c r="K92">
        <v>2018</v>
      </c>
    </row>
    <row r="93" spans="2:11" x14ac:dyDescent="0.35">
      <c r="B93">
        <v>91</v>
      </c>
      <c r="C93" t="s">
        <v>98</v>
      </c>
      <c r="D93">
        <v>5.1550000000000002</v>
      </c>
      <c r="E93">
        <v>0.68899999999999995</v>
      </c>
      <c r="F93">
        <v>1.1719999999999999</v>
      </c>
      <c r="G93">
        <v>4.8000000000000001E-2</v>
      </c>
      <c r="H93">
        <v>0.46200000000000002</v>
      </c>
      <c r="I93">
        <v>0.20100000000000001</v>
      </c>
      <c r="J93">
        <v>3.2000000000000001E-2</v>
      </c>
      <c r="K93">
        <v>2018</v>
      </c>
    </row>
    <row r="94" spans="2:11" x14ac:dyDescent="0.35">
      <c r="B94">
        <v>92</v>
      </c>
      <c r="C94" t="s">
        <v>97</v>
      </c>
      <c r="D94">
        <v>5.1310000000000002</v>
      </c>
      <c r="E94">
        <v>0.53</v>
      </c>
      <c r="F94">
        <v>1.4159999999999999</v>
      </c>
      <c r="G94">
        <v>0.59399999999999997</v>
      </c>
      <c r="H94">
        <v>0.54</v>
      </c>
      <c r="I94">
        <v>0.28100000000000003</v>
      </c>
      <c r="J94">
        <v>3.5000000000000003E-2</v>
      </c>
      <c r="K94">
        <v>2018</v>
      </c>
    </row>
    <row r="95" spans="2:11" x14ac:dyDescent="0.35">
      <c r="B95">
        <v>93</v>
      </c>
      <c r="C95" t="s">
        <v>117</v>
      </c>
      <c r="D95">
        <v>5.1289999999999996</v>
      </c>
      <c r="E95">
        <v>0.91500000000000004</v>
      </c>
      <c r="F95">
        <v>1.0780000000000001</v>
      </c>
      <c r="G95">
        <v>0.75800000000000001</v>
      </c>
      <c r="H95">
        <v>0.28000000000000003</v>
      </c>
      <c r="I95">
        <v>0.216</v>
      </c>
      <c r="J95">
        <v>0</v>
      </c>
      <c r="K95">
        <v>2018</v>
      </c>
    </row>
    <row r="96" spans="2:11" x14ac:dyDescent="0.35">
      <c r="B96">
        <v>94</v>
      </c>
      <c r="C96" t="s">
        <v>121</v>
      </c>
      <c r="D96">
        <v>5.125</v>
      </c>
      <c r="E96">
        <v>0.91400000000000003</v>
      </c>
      <c r="F96">
        <v>1.5169999999999999</v>
      </c>
      <c r="G96">
        <v>0.57499999999999996</v>
      </c>
      <c r="H96">
        <v>0.39500000000000002</v>
      </c>
      <c r="I96">
        <v>0.253</v>
      </c>
      <c r="J96">
        <v>3.2000000000000001E-2</v>
      </c>
      <c r="K96">
        <v>2018</v>
      </c>
    </row>
    <row r="97" spans="2:11" x14ac:dyDescent="0.35">
      <c r="B97">
        <v>95</v>
      </c>
      <c r="C97" t="s">
        <v>95</v>
      </c>
      <c r="D97">
        <v>5.1029999999999998</v>
      </c>
      <c r="E97">
        <v>0.71499999999999997</v>
      </c>
      <c r="F97">
        <v>1.365</v>
      </c>
      <c r="G97">
        <v>0.70199999999999996</v>
      </c>
      <c r="H97">
        <v>0.61799999999999999</v>
      </c>
      <c r="I97">
        <v>0.17699999999999999</v>
      </c>
      <c r="J97">
        <v>7.9000000000000001E-2</v>
      </c>
      <c r="K97">
        <v>2018</v>
      </c>
    </row>
    <row r="98" spans="2:11" x14ac:dyDescent="0.35">
      <c r="B98">
        <v>96</v>
      </c>
      <c r="C98" t="s">
        <v>94</v>
      </c>
      <c r="D98">
        <v>5.093</v>
      </c>
      <c r="E98">
        <v>0.89900000000000002</v>
      </c>
      <c r="F98">
        <v>1.2150000000000001</v>
      </c>
      <c r="G98">
        <v>0.52200000000000002</v>
      </c>
      <c r="H98">
        <v>0.53800000000000003</v>
      </c>
      <c r="I98">
        <v>0.48399999999999999</v>
      </c>
      <c r="J98">
        <v>1.7999999999999999E-2</v>
      </c>
      <c r="K98">
        <v>2018</v>
      </c>
    </row>
    <row r="99" spans="2:11" x14ac:dyDescent="0.35">
      <c r="B99">
        <v>97</v>
      </c>
      <c r="C99" t="s">
        <v>99</v>
      </c>
      <c r="D99">
        <v>5.0819999999999999</v>
      </c>
      <c r="E99">
        <v>0.79600000000000004</v>
      </c>
      <c r="F99">
        <v>1.335</v>
      </c>
      <c r="G99">
        <v>0.52700000000000002</v>
      </c>
      <c r="H99">
        <v>0.54100000000000004</v>
      </c>
      <c r="I99">
        <v>0.36399999999999999</v>
      </c>
      <c r="J99">
        <v>0.17100000000000001</v>
      </c>
      <c r="K99">
        <v>2018</v>
      </c>
    </row>
    <row r="100" spans="2:11" x14ac:dyDescent="0.35">
      <c r="B100">
        <v>98</v>
      </c>
      <c r="C100" t="s">
        <v>209</v>
      </c>
      <c r="D100">
        <v>4.9820000000000002</v>
      </c>
      <c r="E100">
        <v>0</v>
      </c>
      <c r="F100">
        <v>0.71199999999999997</v>
      </c>
      <c r="G100">
        <v>0.115</v>
      </c>
      <c r="H100">
        <v>0.67400000000000004</v>
      </c>
      <c r="I100">
        <v>0.23799999999999999</v>
      </c>
      <c r="J100">
        <v>0.28199999999999997</v>
      </c>
      <c r="K100">
        <v>2018</v>
      </c>
    </row>
    <row r="101" spans="2:11" x14ac:dyDescent="0.35">
      <c r="B101">
        <v>99</v>
      </c>
      <c r="C101" t="s">
        <v>154</v>
      </c>
      <c r="D101">
        <v>4.9749999999999996</v>
      </c>
      <c r="E101">
        <v>0.53500000000000003</v>
      </c>
      <c r="F101">
        <v>0.89100000000000001</v>
      </c>
      <c r="G101">
        <v>0.182</v>
      </c>
      <c r="H101">
        <v>0.45400000000000001</v>
      </c>
      <c r="I101">
        <v>0.183</v>
      </c>
      <c r="J101">
        <v>4.2999999999999997E-2</v>
      </c>
      <c r="K101">
        <v>2018</v>
      </c>
    </row>
    <row r="102" spans="2:11" x14ac:dyDescent="0.35">
      <c r="B102">
        <v>100</v>
      </c>
      <c r="C102" t="s">
        <v>155</v>
      </c>
      <c r="D102">
        <v>4.9329999999999998</v>
      </c>
      <c r="E102">
        <v>1.054</v>
      </c>
      <c r="F102">
        <v>1.5149999999999999</v>
      </c>
      <c r="G102">
        <v>0.71199999999999997</v>
      </c>
      <c r="H102">
        <v>0.35899999999999999</v>
      </c>
      <c r="I102">
        <v>6.4000000000000001E-2</v>
      </c>
      <c r="J102">
        <v>8.9999999999999993E-3</v>
      </c>
      <c r="K102">
        <v>2018</v>
      </c>
    </row>
    <row r="103" spans="2:11" x14ac:dyDescent="0.35">
      <c r="B103">
        <v>101</v>
      </c>
      <c r="C103" t="s">
        <v>142</v>
      </c>
      <c r="D103">
        <v>4.88</v>
      </c>
      <c r="E103">
        <v>0.42499999999999999</v>
      </c>
      <c r="F103">
        <v>1.228</v>
      </c>
      <c r="G103">
        <v>0.53900000000000003</v>
      </c>
      <c r="H103">
        <v>0.52600000000000002</v>
      </c>
      <c r="I103">
        <v>0.30199999999999999</v>
      </c>
      <c r="J103">
        <v>7.8E-2</v>
      </c>
      <c r="K103">
        <v>2018</v>
      </c>
    </row>
    <row r="104" spans="2:11" x14ac:dyDescent="0.35">
      <c r="B104">
        <v>102</v>
      </c>
      <c r="C104" t="s">
        <v>39</v>
      </c>
      <c r="D104">
        <v>4.806</v>
      </c>
      <c r="E104">
        <v>0.996</v>
      </c>
      <c r="F104">
        <v>1.4690000000000001</v>
      </c>
      <c r="G104">
        <v>0.65700000000000003</v>
      </c>
      <c r="H104">
        <v>0.13300000000000001</v>
      </c>
      <c r="I104">
        <v>5.6000000000000001E-2</v>
      </c>
      <c r="J104">
        <v>5.1999999999999998E-2</v>
      </c>
      <c r="K104">
        <v>2018</v>
      </c>
    </row>
    <row r="105" spans="2:11" x14ac:dyDescent="0.35">
      <c r="B105">
        <v>103</v>
      </c>
      <c r="C105" t="s">
        <v>164</v>
      </c>
      <c r="D105">
        <v>4.758</v>
      </c>
      <c r="E105">
        <v>1.036</v>
      </c>
      <c r="F105">
        <v>1.1639999999999999</v>
      </c>
      <c r="G105">
        <v>0.40400000000000003</v>
      </c>
      <c r="H105">
        <v>0.35599999999999998</v>
      </c>
      <c r="I105">
        <v>3.2000000000000001E-2</v>
      </c>
      <c r="J105">
        <v>5.1999999999999998E-2</v>
      </c>
      <c r="K105">
        <v>2018</v>
      </c>
    </row>
    <row r="106" spans="2:11" x14ac:dyDescent="0.35">
      <c r="B106">
        <v>104</v>
      </c>
      <c r="C106" t="s">
        <v>129</v>
      </c>
      <c r="D106">
        <v>4.7430000000000003</v>
      </c>
      <c r="E106">
        <v>0.64200000000000002</v>
      </c>
      <c r="F106">
        <v>1.2170000000000001</v>
      </c>
      <c r="G106">
        <v>0.60199999999999998</v>
      </c>
      <c r="H106">
        <v>0.26600000000000001</v>
      </c>
      <c r="I106">
        <v>8.5999999999999993E-2</v>
      </c>
      <c r="J106">
        <v>7.5999999999999998E-2</v>
      </c>
      <c r="K106">
        <v>2018</v>
      </c>
    </row>
    <row r="107" spans="2:11" x14ac:dyDescent="0.35">
      <c r="B107">
        <v>105</v>
      </c>
      <c r="C107" t="s">
        <v>134</v>
      </c>
      <c r="D107">
        <v>4.7240000000000002</v>
      </c>
      <c r="E107">
        <v>0.94</v>
      </c>
      <c r="F107">
        <v>1.41</v>
      </c>
      <c r="G107">
        <v>0.33</v>
      </c>
      <c r="H107">
        <v>0.51600000000000001</v>
      </c>
      <c r="I107">
        <v>0.10299999999999999</v>
      </c>
      <c r="J107">
        <v>5.6000000000000001E-2</v>
      </c>
      <c r="K107">
        <v>2018</v>
      </c>
    </row>
    <row r="108" spans="2:11" x14ac:dyDescent="0.35">
      <c r="B108">
        <v>106</v>
      </c>
      <c r="C108" t="s">
        <v>131</v>
      </c>
      <c r="D108">
        <v>4.7069999999999999</v>
      </c>
      <c r="E108">
        <v>1.0589999999999999</v>
      </c>
      <c r="F108">
        <v>0.77100000000000002</v>
      </c>
      <c r="G108">
        <v>0.69099999999999995</v>
      </c>
      <c r="H108">
        <v>0.45900000000000002</v>
      </c>
      <c r="I108">
        <v>0.28199999999999997</v>
      </c>
      <c r="J108">
        <v>0.129</v>
      </c>
      <c r="K108">
        <v>2018</v>
      </c>
    </row>
    <row r="109" spans="2:11" x14ac:dyDescent="0.35">
      <c r="B109">
        <v>107</v>
      </c>
      <c r="C109" t="s">
        <v>172</v>
      </c>
      <c r="D109">
        <v>4.6710000000000003</v>
      </c>
      <c r="E109">
        <v>0.54100000000000004</v>
      </c>
      <c r="F109">
        <v>0.872</v>
      </c>
      <c r="G109">
        <v>0.08</v>
      </c>
      <c r="H109">
        <v>0.46700000000000003</v>
      </c>
      <c r="I109">
        <v>0.14599999999999999</v>
      </c>
      <c r="J109">
        <v>0.10299999999999999</v>
      </c>
      <c r="K109">
        <v>2018</v>
      </c>
    </row>
    <row r="110" spans="2:11" x14ac:dyDescent="0.35">
      <c r="B110">
        <v>108</v>
      </c>
      <c r="C110" t="s">
        <v>135</v>
      </c>
      <c r="D110">
        <v>4.657</v>
      </c>
      <c r="E110">
        <v>0.59199999999999997</v>
      </c>
      <c r="F110">
        <v>0.89600000000000002</v>
      </c>
      <c r="G110">
        <v>0.33700000000000002</v>
      </c>
      <c r="H110">
        <v>0.499</v>
      </c>
      <c r="I110">
        <v>0.21199999999999999</v>
      </c>
      <c r="J110">
        <v>2.9000000000000001E-2</v>
      </c>
      <c r="K110">
        <v>2018</v>
      </c>
    </row>
    <row r="111" spans="2:11" x14ac:dyDescent="0.35">
      <c r="B111">
        <v>109</v>
      </c>
      <c r="C111" t="s">
        <v>163</v>
      </c>
      <c r="D111">
        <v>4.6310000000000002</v>
      </c>
      <c r="E111">
        <v>0.42899999999999999</v>
      </c>
      <c r="F111">
        <v>1.117</v>
      </c>
      <c r="G111">
        <v>0.433</v>
      </c>
      <c r="H111">
        <v>0.40600000000000003</v>
      </c>
      <c r="I111">
        <v>0.13800000000000001</v>
      </c>
      <c r="J111">
        <v>8.2000000000000003E-2</v>
      </c>
      <c r="K111">
        <v>2018</v>
      </c>
    </row>
    <row r="112" spans="2:11" x14ac:dyDescent="0.35">
      <c r="B112">
        <v>110</v>
      </c>
      <c r="C112" t="s">
        <v>120</v>
      </c>
      <c r="D112">
        <v>4.6230000000000002</v>
      </c>
      <c r="E112">
        <v>0.72</v>
      </c>
      <c r="F112">
        <v>1.034</v>
      </c>
      <c r="G112">
        <v>0.441</v>
      </c>
      <c r="H112">
        <v>0.626</v>
      </c>
      <c r="I112">
        <v>0.23</v>
      </c>
      <c r="J112">
        <v>0.17399999999999999</v>
      </c>
      <c r="K112">
        <v>2018</v>
      </c>
    </row>
    <row r="113" spans="2:11" x14ac:dyDescent="0.35">
      <c r="B113">
        <v>111</v>
      </c>
      <c r="C113" t="s">
        <v>128</v>
      </c>
      <c r="D113">
        <v>4.5919999999999996</v>
      </c>
      <c r="E113">
        <v>0.9</v>
      </c>
      <c r="F113">
        <v>0.90600000000000003</v>
      </c>
      <c r="G113">
        <v>0.69</v>
      </c>
      <c r="H113">
        <v>0.27100000000000002</v>
      </c>
      <c r="I113">
        <v>0.04</v>
      </c>
      <c r="J113">
        <v>6.3E-2</v>
      </c>
      <c r="K113">
        <v>2018</v>
      </c>
    </row>
    <row r="114" spans="2:11" x14ac:dyDescent="0.35">
      <c r="B114">
        <v>112</v>
      </c>
      <c r="C114" t="s">
        <v>116</v>
      </c>
      <c r="D114">
        <v>4.5860000000000003</v>
      </c>
      <c r="E114">
        <v>0.91600000000000004</v>
      </c>
      <c r="F114">
        <v>0.81699999999999995</v>
      </c>
      <c r="G114">
        <v>0.79</v>
      </c>
      <c r="H114">
        <v>0.41899999999999998</v>
      </c>
      <c r="I114">
        <v>0.14899999999999999</v>
      </c>
      <c r="J114">
        <v>3.2000000000000001E-2</v>
      </c>
      <c r="K114">
        <v>2018</v>
      </c>
    </row>
    <row r="115" spans="2:11" x14ac:dyDescent="0.35">
      <c r="B115">
        <v>113</v>
      </c>
      <c r="C115" t="s">
        <v>144</v>
      </c>
      <c r="D115">
        <v>4.5709999999999997</v>
      </c>
      <c r="E115">
        <v>0.25600000000000001</v>
      </c>
      <c r="F115">
        <v>0.81299999999999994</v>
      </c>
      <c r="G115">
        <v>0</v>
      </c>
      <c r="H115">
        <v>0.35499999999999998</v>
      </c>
      <c r="I115">
        <v>0.23799999999999999</v>
      </c>
      <c r="J115">
        <v>5.2999999999999999E-2</v>
      </c>
      <c r="K115">
        <v>2018</v>
      </c>
    </row>
    <row r="116" spans="2:11" x14ac:dyDescent="0.35">
      <c r="B116">
        <v>114</v>
      </c>
      <c r="C116" t="s">
        <v>160</v>
      </c>
      <c r="D116">
        <v>4.5590000000000002</v>
      </c>
      <c r="E116">
        <v>0.68200000000000005</v>
      </c>
      <c r="F116">
        <v>0.81100000000000005</v>
      </c>
      <c r="G116">
        <v>0.34300000000000003</v>
      </c>
      <c r="H116">
        <v>0.51400000000000001</v>
      </c>
      <c r="I116">
        <v>9.0999999999999998E-2</v>
      </c>
      <c r="J116">
        <v>7.6999999999999999E-2</v>
      </c>
      <c r="K116">
        <v>2018</v>
      </c>
    </row>
    <row r="117" spans="2:11" x14ac:dyDescent="0.35">
      <c r="B117">
        <v>115</v>
      </c>
      <c r="C117" t="s">
        <v>130</v>
      </c>
      <c r="D117">
        <v>4.5</v>
      </c>
      <c r="E117">
        <v>0.53200000000000003</v>
      </c>
      <c r="F117">
        <v>0.85</v>
      </c>
      <c r="G117">
        <v>0.57899999999999996</v>
      </c>
      <c r="H117">
        <v>0.57999999999999996</v>
      </c>
      <c r="I117">
        <v>0.153</v>
      </c>
      <c r="J117">
        <v>0.14399999999999999</v>
      </c>
      <c r="K117">
        <v>2018</v>
      </c>
    </row>
    <row r="118" spans="2:11" x14ac:dyDescent="0.35">
      <c r="B118">
        <v>116</v>
      </c>
      <c r="C118" t="s">
        <v>153</v>
      </c>
      <c r="D118">
        <v>4.4710000000000001</v>
      </c>
      <c r="E118">
        <v>0.91800000000000004</v>
      </c>
      <c r="F118">
        <v>1.3140000000000001</v>
      </c>
      <c r="G118">
        <v>0.67200000000000004</v>
      </c>
      <c r="H118">
        <v>0.58499999999999996</v>
      </c>
      <c r="I118">
        <v>0.307</v>
      </c>
      <c r="J118">
        <v>0.05</v>
      </c>
      <c r="K118">
        <v>2018</v>
      </c>
    </row>
    <row r="119" spans="2:11" x14ac:dyDescent="0.35">
      <c r="B119">
        <v>117</v>
      </c>
      <c r="C119" t="s">
        <v>133</v>
      </c>
      <c r="D119">
        <v>4.4560000000000004</v>
      </c>
      <c r="E119">
        <v>1.01</v>
      </c>
      <c r="F119">
        <v>0.97099999999999997</v>
      </c>
      <c r="G119">
        <v>0.53600000000000003</v>
      </c>
      <c r="H119">
        <v>0.30399999999999999</v>
      </c>
      <c r="I119">
        <v>0.14799999999999999</v>
      </c>
      <c r="J119">
        <v>9.5000000000000001E-2</v>
      </c>
      <c r="K119">
        <v>2018</v>
      </c>
    </row>
    <row r="120" spans="2:11" x14ac:dyDescent="0.35">
      <c r="B120">
        <v>118</v>
      </c>
      <c r="C120" t="s">
        <v>159</v>
      </c>
      <c r="D120">
        <v>4.4470000000000001</v>
      </c>
      <c r="E120">
        <v>0.37</v>
      </c>
      <c r="F120">
        <v>1.2330000000000001</v>
      </c>
      <c r="G120">
        <v>0.152</v>
      </c>
      <c r="H120">
        <v>0.36699999999999999</v>
      </c>
      <c r="I120">
        <v>0.13900000000000001</v>
      </c>
      <c r="J120">
        <v>5.6000000000000001E-2</v>
      </c>
      <c r="K120">
        <v>2018</v>
      </c>
    </row>
    <row r="121" spans="2:11" x14ac:dyDescent="0.35">
      <c r="B121">
        <v>119</v>
      </c>
      <c r="C121" t="s">
        <v>211</v>
      </c>
      <c r="D121">
        <v>4.4409999999999998</v>
      </c>
      <c r="E121">
        <v>0.874</v>
      </c>
      <c r="F121">
        <v>1.2809999999999999</v>
      </c>
      <c r="G121">
        <v>0.36499999999999999</v>
      </c>
      <c r="H121">
        <v>0.51900000000000002</v>
      </c>
      <c r="I121">
        <v>5.0999999999999997E-2</v>
      </c>
      <c r="J121">
        <v>6.4000000000000001E-2</v>
      </c>
      <c r="K121">
        <v>2018</v>
      </c>
    </row>
    <row r="122" spans="2:11" x14ac:dyDescent="0.35">
      <c r="B122">
        <v>120</v>
      </c>
      <c r="C122" t="s">
        <v>166</v>
      </c>
      <c r="D122">
        <v>4.4329999999999998</v>
      </c>
      <c r="E122">
        <v>0.54900000000000004</v>
      </c>
      <c r="F122">
        <v>1.0880000000000001</v>
      </c>
      <c r="G122">
        <v>0.45700000000000002</v>
      </c>
      <c r="H122">
        <v>0.69599999999999995</v>
      </c>
      <c r="I122">
        <v>0.25600000000000001</v>
      </c>
      <c r="J122">
        <v>6.5000000000000002E-2</v>
      </c>
      <c r="K122">
        <v>2018</v>
      </c>
    </row>
    <row r="123" spans="2:11" x14ac:dyDescent="0.35">
      <c r="B123">
        <v>121</v>
      </c>
      <c r="C123" t="s">
        <v>173</v>
      </c>
      <c r="D123">
        <v>4.4240000000000004</v>
      </c>
      <c r="E123">
        <v>0.314</v>
      </c>
      <c r="F123">
        <v>1.097</v>
      </c>
      <c r="G123">
        <v>0.254</v>
      </c>
      <c r="H123">
        <v>0.312</v>
      </c>
      <c r="I123">
        <v>0.17499999999999999</v>
      </c>
      <c r="J123">
        <v>0.128</v>
      </c>
      <c r="K123">
        <v>2018</v>
      </c>
    </row>
    <row r="124" spans="2:11" x14ac:dyDescent="0.35">
      <c r="B124">
        <v>122</v>
      </c>
      <c r="C124" t="s">
        <v>156</v>
      </c>
      <c r="D124">
        <v>4.4189999999999996</v>
      </c>
      <c r="E124">
        <v>0.88500000000000001</v>
      </c>
      <c r="F124">
        <v>1.0249999999999999</v>
      </c>
      <c r="G124">
        <v>0.55300000000000005</v>
      </c>
      <c r="H124">
        <v>0.312</v>
      </c>
      <c r="I124">
        <v>9.1999999999999998E-2</v>
      </c>
      <c r="J124">
        <v>0.107</v>
      </c>
      <c r="K124">
        <v>2018</v>
      </c>
    </row>
    <row r="125" spans="2:11" x14ac:dyDescent="0.35">
      <c r="B125">
        <v>123</v>
      </c>
      <c r="C125" t="s">
        <v>115</v>
      </c>
      <c r="D125">
        <v>4.4169999999999998</v>
      </c>
      <c r="E125">
        <v>0.19800000000000001</v>
      </c>
      <c r="F125">
        <v>0.90200000000000002</v>
      </c>
      <c r="G125">
        <v>0.17299999999999999</v>
      </c>
      <c r="H125">
        <v>0.53100000000000003</v>
      </c>
      <c r="I125">
        <v>0.20599999999999999</v>
      </c>
      <c r="J125">
        <v>0.158</v>
      </c>
      <c r="K125">
        <v>2018</v>
      </c>
    </row>
    <row r="126" spans="2:11" x14ac:dyDescent="0.35">
      <c r="B126">
        <v>124</v>
      </c>
      <c r="C126" t="s">
        <v>146</v>
      </c>
      <c r="D126">
        <v>4.41</v>
      </c>
      <c r="E126">
        <v>0.49299999999999999</v>
      </c>
      <c r="F126">
        <v>1.048</v>
      </c>
      <c r="G126">
        <v>0.45400000000000001</v>
      </c>
      <c r="H126">
        <v>0.504</v>
      </c>
      <c r="I126">
        <v>0.35199999999999998</v>
      </c>
      <c r="J126">
        <v>5.5E-2</v>
      </c>
      <c r="K126">
        <v>2018</v>
      </c>
    </row>
    <row r="127" spans="2:11" x14ac:dyDescent="0.35">
      <c r="B127">
        <v>125</v>
      </c>
      <c r="C127" t="s">
        <v>106</v>
      </c>
      <c r="D127">
        <v>4.3769999999999998</v>
      </c>
      <c r="E127">
        <v>0.56200000000000006</v>
      </c>
      <c r="F127">
        <v>1.0469999999999999</v>
      </c>
      <c r="G127">
        <v>0.29499999999999998</v>
      </c>
      <c r="H127">
        <v>0.503</v>
      </c>
      <c r="I127">
        <v>0.221</v>
      </c>
      <c r="J127">
        <v>8.2000000000000003E-2</v>
      </c>
      <c r="K127">
        <v>2018</v>
      </c>
    </row>
    <row r="128" spans="2:11" x14ac:dyDescent="0.35">
      <c r="B128">
        <v>126</v>
      </c>
      <c r="C128" t="s">
        <v>145</v>
      </c>
      <c r="D128">
        <v>4.3559999999999999</v>
      </c>
      <c r="E128">
        <v>0.55700000000000005</v>
      </c>
      <c r="F128">
        <v>1.2450000000000001</v>
      </c>
      <c r="G128">
        <v>0.29199999999999998</v>
      </c>
      <c r="H128">
        <v>0.129</v>
      </c>
      <c r="I128">
        <v>0.13400000000000001</v>
      </c>
      <c r="J128">
        <v>9.2999999999999999E-2</v>
      </c>
      <c r="K128">
        <v>2018</v>
      </c>
    </row>
    <row r="129" spans="2:11" x14ac:dyDescent="0.35">
      <c r="B129">
        <v>127</v>
      </c>
      <c r="C129" t="s">
        <v>143</v>
      </c>
      <c r="D129">
        <v>4.3499999999999996</v>
      </c>
      <c r="E129">
        <v>0.308</v>
      </c>
      <c r="F129">
        <v>0.95</v>
      </c>
      <c r="G129">
        <v>0.39100000000000001</v>
      </c>
      <c r="H129">
        <v>0.45200000000000001</v>
      </c>
      <c r="I129">
        <v>0.22</v>
      </c>
      <c r="J129">
        <v>0.14599999999999999</v>
      </c>
      <c r="K129">
        <v>2018</v>
      </c>
    </row>
    <row r="130" spans="2:11" x14ac:dyDescent="0.35">
      <c r="B130">
        <v>128</v>
      </c>
      <c r="C130" t="s">
        <v>151</v>
      </c>
      <c r="D130">
        <v>4.34</v>
      </c>
      <c r="E130">
        <v>0.85299999999999998</v>
      </c>
      <c r="F130">
        <v>0.59199999999999997</v>
      </c>
      <c r="G130">
        <v>0.64300000000000002</v>
      </c>
      <c r="H130">
        <v>0.375</v>
      </c>
      <c r="I130">
        <v>3.7999999999999999E-2</v>
      </c>
      <c r="J130">
        <v>0.215</v>
      </c>
      <c r="K130">
        <v>2018</v>
      </c>
    </row>
    <row r="131" spans="2:11" x14ac:dyDescent="0.35">
      <c r="B131">
        <v>129</v>
      </c>
      <c r="C131" t="s">
        <v>148</v>
      </c>
      <c r="D131">
        <v>4.3209999999999997</v>
      </c>
      <c r="E131">
        <v>0.81599999999999995</v>
      </c>
      <c r="F131">
        <v>0.99</v>
      </c>
      <c r="G131">
        <v>0.66600000000000004</v>
      </c>
      <c r="H131">
        <v>0.26</v>
      </c>
      <c r="I131">
        <v>7.6999999999999999E-2</v>
      </c>
      <c r="J131">
        <v>2.8000000000000001E-2</v>
      </c>
      <c r="K131">
        <v>2018</v>
      </c>
    </row>
    <row r="132" spans="2:11" x14ac:dyDescent="0.35">
      <c r="B132">
        <v>130</v>
      </c>
      <c r="C132" t="s">
        <v>150</v>
      </c>
      <c r="D132">
        <v>4.3079999999999998</v>
      </c>
      <c r="E132">
        <v>0.68200000000000005</v>
      </c>
      <c r="F132">
        <v>1.1739999999999999</v>
      </c>
      <c r="G132">
        <v>0.42899999999999999</v>
      </c>
      <c r="H132">
        <v>0.57999999999999996</v>
      </c>
      <c r="I132">
        <v>0.59799999999999998</v>
      </c>
      <c r="J132">
        <v>0.17799999999999999</v>
      </c>
      <c r="K132">
        <v>2018</v>
      </c>
    </row>
    <row r="133" spans="2:11" x14ac:dyDescent="0.35">
      <c r="B133">
        <v>131</v>
      </c>
      <c r="C133" t="s">
        <v>170</v>
      </c>
      <c r="D133">
        <v>4.3010000000000002</v>
      </c>
      <c r="E133">
        <v>0.35799999999999998</v>
      </c>
      <c r="F133">
        <v>0.90700000000000003</v>
      </c>
      <c r="G133">
        <v>5.2999999999999999E-2</v>
      </c>
      <c r="H133">
        <v>0.189</v>
      </c>
      <c r="I133">
        <v>0.18099999999999999</v>
      </c>
      <c r="J133">
        <v>0.06</v>
      </c>
      <c r="K133">
        <v>2018</v>
      </c>
    </row>
    <row r="134" spans="2:11" x14ac:dyDescent="0.35">
      <c r="B134">
        <v>132</v>
      </c>
      <c r="C134" t="s">
        <v>141</v>
      </c>
      <c r="D134">
        <v>4.2450000000000001</v>
      </c>
      <c r="E134">
        <v>6.9000000000000006E-2</v>
      </c>
      <c r="F134">
        <v>1.1359999999999999</v>
      </c>
      <c r="G134">
        <v>0.20399999999999999</v>
      </c>
      <c r="H134">
        <v>0.312</v>
      </c>
      <c r="I134">
        <v>0.19700000000000001</v>
      </c>
      <c r="J134">
        <v>5.1999999999999998E-2</v>
      </c>
      <c r="K134">
        <v>2018</v>
      </c>
    </row>
    <row r="135" spans="2:11" x14ac:dyDescent="0.35">
      <c r="B135">
        <v>133</v>
      </c>
      <c r="C135" t="s">
        <v>138</v>
      </c>
      <c r="D135">
        <v>4.1900000000000004</v>
      </c>
      <c r="E135">
        <v>0.72099999999999997</v>
      </c>
      <c r="F135">
        <v>0.747</v>
      </c>
      <c r="G135">
        <v>0.48499999999999999</v>
      </c>
      <c r="H135">
        <v>0.53900000000000003</v>
      </c>
      <c r="I135">
        <v>0.17199999999999999</v>
      </c>
      <c r="J135">
        <v>9.2999999999999999E-2</v>
      </c>
      <c r="K135">
        <v>2018</v>
      </c>
    </row>
    <row r="136" spans="2:11" x14ac:dyDescent="0.35">
      <c r="B136">
        <v>134</v>
      </c>
      <c r="C136" t="s">
        <v>165</v>
      </c>
      <c r="D136">
        <v>4.1660000000000004</v>
      </c>
      <c r="E136">
        <v>0.13100000000000001</v>
      </c>
      <c r="F136">
        <v>0.86699999999999999</v>
      </c>
      <c r="G136">
        <v>0.221</v>
      </c>
      <c r="H136">
        <v>0.39</v>
      </c>
      <c r="I136">
        <v>0.17499999999999999</v>
      </c>
      <c r="J136">
        <v>9.9000000000000005E-2</v>
      </c>
      <c r="K136">
        <v>2018</v>
      </c>
    </row>
    <row r="137" spans="2:11" x14ac:dyDescent="0.35">
      <c r="B137">
        <v>135</v>
      </c>
      <c r="C137" t="s">
        <v>162</v>
      </c>
      <c r="D137">
        <v>4.1609999999999996</v>
      </c>
      <c r="E137">
        <v>0.32200000000000001</v>
      </c>
      <c r="F137">
        <v>1.0900000000000001</v>
      </c>
      <c r="G137">
        <v>0.23699999999999999</v>
      </c>
      <c r="H137">
        <v>0.45</v>
      </c>
      <c r="I137">
        <v>0.25900000000000001</v>
      </c>
      <c r="J137">
        <v>6.0999999999999999E-2</v>
      </c>
      <c r="K137">
        <v>2018</v>
      </c>
    </row>
    <row r="138" spans="2:11" x14ac:dyDescent="0.35">
      <c r="B138">
        <v>136</v>
      </c>
      <c r="C138" t="s">
        <v>176</v>
      </c>
      <c r="D138">
        <v>4.141</v>
      </c>
      <c r="E138">
        <v>0.378</v>
      </c>
      <c r="F138">
        <v>0.372</v>
      </c>
      <c r="G138">
        <v>0.24</v>
      </c>
      <c r="H138">
        <v>0.44</v>
      </c>
      <c r="I138">
        <v>0.16300000000000001</v>
      </c>
      <c r="J138">
        <v>6.7000000000000004E-2</v>
      </c>
      <c r="K138">
        <v>2018</v>
      </c>
    </row>
    <row r="139" spans="2:11" x14ac:dyDescent="0.35">
      <c r="B139">
        <v>137</v>
      </c>
      <c r="C139" t="s">
        <v>139</v>
      </c>
      <c r="D139">
        <v>4.1390000000000002</v>
      </c>
      <c r="E139">
        <v>0.60499999999999998</v>
      </c>
      <c r="F139">
        <v>1.24</v>
      </c>
      <c r="G139">
        <v>0.312</v>
      </c>
      <c r="H139">
        <v>1.6E-2</v>
      </c>
      <c r="I139">
        <v>0.13400000000000001</v>
      </c>
      <c r="J139">
        <v>8.2000000000000003E-2</v>
      </c>
      <c r="K139">
        <v>2018</v>
      </c>
    </row>
    <row r="140" spans="2:11" x14ac:dyDescent="0.35">
      <c r="B140">
        <v>138</v>
      </c>
      <c r="C140" t="s">
        <v>132</v>
      </c>
      <c r="D140">
        <v>4.1029999999999998</v>
      </c>
      <c r="E140">
        <v>0.79300000000000004</v>
      </c>
      <c r="F140">
        <v>1.413</v>
      </c>
      <c r="G140">
        <v>0.60899999999999999</v>
      </c>
      <c r="H140">
        <v>0.16300000000000001</v>
      </c>
      <c r="I140">
        <v>0.187</v>
      </c>
      <c r="J140">
        <v>1.0999999999999999E-2</v>
      </c>
      <c r="K140">
        <v>2018</v>
      </c>
    </row>
    <row r="141" spans="2:11" x14ac:dyDescent="0.35">
      <c r="B141">
        <v>139</v>
      </c>
      <c r="C141" t="s">
        <v>179</v>
      </c>
      <c r="D141">
        <v>3.9990000000000001</v>
      </c>
      <c r="E141">
        <v>0.25900000000000001</v>
      </c>
      <c r="F141">
        <v>0.47399999999999998</v>
      </c>
      <c r="G141">
        <v>0.253</v>
      </c>
      <c r="H141">
        <v>0.434</v>
      </c>
      <c r="I141">
        <v>0.158</v>
      </c>
      <c r="J141">
        <v>0.10100000000000001</v>
      </c>
      <c r="K141">
        <v>2018</v>
      </c>
    </row>
    <row r="142" spans="2:11" x14ac:dyDescent="0.35">
      <c r="B142">
        <v>140</v>
      </c>
      <c r="C142" t="s">
        <v>171</v>
      </c>
      <c r="D142">
        <v>3.964</v>
      </c>
      <c r="E142">
        <v>0.34399999999999997</v>
      </c>
      <c r="F142">
        <v>0.79200000000000004</v>
      </c>
      <c r="G142">
        <v>0.21099999999999999</v>
      </c>
      <c r="H142">
        <v>0.39400000000000002</v>
      </c>
      <c r="I142">
        <v>0.185</v>
      </c>
      <c r="J142">
        <v>9.4E-2</v>
      </c>
      <c r="K142">
        <v>2018</v>
      </c>
    </row>
    <row r="143" spans="2:11" x14ac:dyDescent="0.35">
      <c r="B143">
        <v>141</v>
      </c>
      <c r="C143" t="s">
        <v>118</v>
      </c>
      <c r="D143">
        <v>3.8079999999999998</v>
      </c>
      <c r="E143">
        <v>0.47199999999999998</v>
      </c>
      <c r="F143">
        <v>1.2150000000000001</v>
      </c>
      <c r="G143">
        <v>7.9000000000000001E-2</v>
      </c>
      <c r="H143">
        <v>0.42299999999999999</v>
      </c>
      <c r="I143">
        <v>0.11600000000000001</v>
      </c>
      <c r="J143">
        <v>0.112</v>
      </c>
      <c r="K143">
        <v>2018</v>
      </c>
    </row>
    <row r="144" spans="2:11" x14ac:dyDescent="0.35">
      <c r="B144">
        <v>142</v>
      </c>
      <c r="C144" t="s">
        <v>158</v>
      </c>
      <c r="D144">
        <v>3.7949999999999999</v>
      </c>
      <c r="E144">
        <v>0.73</v>
      </c>
      <c r="F144">
        <v>1.125</v>
      </c>
      <c r="G144">
        <v>0.26900000000000002</v>
      </c>
      <c r="H144">
        <v>0</v>
      </c>
      <c r="I144">
        <v>7.9000000000000001E-2</v>
      </c>
      <c r="J144">
        <v>6.0999999999999999E-2</v>
      </c>
      <c r="K144">
        <v>2018</v>
      </c>
    </row>
    <row r="145" spans="2:11" x14ac:dyDescent="0.35">
      <c r="B145">
        <v>143</v>
      </c>
      <c r="C145" t="s">
        <v>168</v>
      </c>
      <c r="D145">
        <v>3.774</v>
      </c>
      <c r="E145">
        <v>0.26200000000000001</v>
      </c>
      <c r="F145">
        <v>0.90800000000000003</v>
      </c>
      <c r="G145">
        <v>0.40200000000000002</v>
      </c>
      <c r="H145">
        <v>0.221</v>
      </c>
      <c r="I145">
        <v>0.155</v>
      </c>
      <c r="J145">
        <v>4.9000000000000002E-2</v>
      </c>
      <c r="K145">
        <v>2018</v>
      </c>
    </row>
    <row r="146" spans="2:11" x14ac:dyDescent="0.35">
      <c r="B146">
        <v>144</v>
      </c>
      <c r="C146" t="s">
        <v>136</v>
      </c>
      <c r="D146">
        <v>3.6920000000000002</v>
      </c>
      <c r="E146">
        <v>0.35699999999999998</v>
      </c>
      <c r="F146">
        <v>1.0940000000000001</v>
      </c>
      <c r="G146">
        <v>0.248</v>
      </c>
      <c r="H146">
        <v>0.40600000000000003</v>
      </c>
      <c r="I146">
        <v>0.13200000000000001</v>
      </c>
      <c r="J146">
        <v>9.9000000000000005E-2</v>
      </c>
      <c r="K146">
        <v>2018</v>
      </c>
    </row>
    <row r="147" spans="2:11" x14ac:dyDescent="0.35">
      <c r="B147">
        <v>145</v>
      </c>
      <c r="C147" t="s">
        <v>174</v>
      </c>
      <c r="D147">
        <v>3.6320000000000001</v>
      </c>
      <c r="E147">
        <v>0.33200000000000002</v>
      </c>
      <c r="F147">
        <v>0.53700000000000003</v>
      </c>
      <c r="G147">
        <v>0.255</v>
      </c>
      <c r="H147">
        <v>8.5000000000000006E-2</v>
      </c>
      <c r="I147">
        <v>0.191</v>
      </c>
      <c r="J147">
        <v>3.5999999999999997E-2</v>
      </c>
      <c r="K147">
        <v>2018</v>
      </c>
    </row>
    <row r="148" spans="2:11" x14ac:dyDescent="0.35">
      <c r="B148">
        <v>146</v>
      </c>
      <c r="C148" t="s">
        <v>149</v>
      </c>
      <c r="D148">
        <v>3.59</v>
      </c>
      <c r="E148">
        <v>1.0169999999999999</v>
      </c>
      <c r="F148">
        <v>1.1739999999999999</v>
      </c>
      <c r="G148">
        <v>0.41699999999999998</v>
      </c>
      <c r="H148">
        <v>0.55700000000000005</v>
      </c>
      <c r="I148">
        <v>4.2000000000000003E-2</v>
      </c>
      <c r="J148">
        <v>9.1999999999999998E-2</v>
      </c>
      <c r="K148">
        <v>2018</v>
      </c>
    </row>
    <row r="149" spans="2:11" x14ac:dyDescent="0.35">
      <c r="B149">
        <v>147</v>
      </c>
      <c r="C149" t="s">
        <v>152</v>
      </c>
      <c r="D149">
        <v>3.5870000000000002</v>
      </c>
      <c r="E149">
        <v>0.186</v>
      </c>
      <c r="F149">
        <v>0.54100000000000004</v>
      </c>
      <c r="G149">
        <v>0.30599999999999999</v>
      </c>
      <c r="H149">
        <v>0.53100000000000003</v>
      </c>
      <c r="I149">
        <v>0.21</v>
      </c>
      <c r="J149">
        <v>0.08</v>
      </c>
      <c r="K149">
        <v>2018</v>
      </c>
    </row>
    <row r="150" spans="2:11" x14ac:dyDescent="0.35">
      <c r="B150">
        <v>148</v>
      </c>
      <c r="C150" t="s">
        <v>140</v>
      </c>
      <c r="D150">
        <v>3.5819999999999999</v>
      </c>
      <c r="E150">
        <v>0.315</v>
      </c>
      <c r="F150">
        <v>0.71399999999999997</v>
      </c>
      <c r="G150">
        <v>0.28899999999999998</v>
      </c>
      <c r="H150">
        <v>2.5000000000000001E-2</v>
      </c>
      <c r="I150">
        <v>0.39200000000000002</v>
      </c>
      <c r="J150">
        <v>0.104</v>
      </c>
      <c r="K150">
        <v>2018</v>
      </c>
    </row>
    <row r="151" spans="2:11" x14ac:dyDescent="0.35">
      <c r="B151">
        <v>149</v>
      </c>
      <c r="C151" t="s">
        <v>137</v>
      </c>
      <c r="D151">
        <v>3.4950000000000001</v>
      </c>
      <c r="E151">
        <v>7.5999999999999998E-2</v>
      </c>
      <c r="F151">
        <v>0.85799999999999998</v>
      </c>
      <c r="G151">
        <v>0.26700000000000002</v>
      </c>
      <c r="H151">
        <v>0.41899999999999998</v>
      </c>
      <c r="I151">
        <v>0.20599999999999999</v>
      </c>
      <c r="J151">
        <v>0.03</v>
      </c>
      <c r="K151">
        <v>2018</v>
      </c>
    </row>
    <row r="152" spans="2:11" x14ac:dyDescent="0.35">
      <c r="B152">
        <v>150</v>
      </c>
      <c r="C152" t="s">
        <v>177</v>
      </c>
      <c r="D152">
        <v>3.4620000000000002</v>
      </c>
      <c r="E152">
        <v>0.68899999999999995</v>
      </c>
      <c r="F152">
        <v>0.38200000000000001</v>
      </c>
      <c r="G152">
        <v>0.53900000000000003</v>
      </c>
      <c r="H152">
        <v>8.7999999999999995E-2</v>
      </c>
      <c r="I152">
        <v>0.376</v>
      </c>
      <c r="J152">
        <v>0.14399999999999999</v>
      </c>
      <c r="K152">
        <v>2018</v>
      </c>
    </row>
    <row r="153" spans="2:11" x14ac:dyDescent="0.35">
      <c r="B153">
        <v>151</v>
      </c>
      <c r="C153" t="s">
        <v>175</v>
      </c>
      <c r="D153">
        <v>3.4079999999999999</v>
      </c>
      <c r="E153">
        <v>0.33200000000000002</v>
      </c>
      <c r="F153">
        <v>0.89600000000000002</v>
      </c>
      <c r="G153">
        <v>0.4</v>
      </c>
      <c r="H153">
        <v>0.63600000000000001</v>
      </c>
      <c r="I153">
        <v>0.2</v>
      </c>
      <c r="J153">
        <v>0.44400000000000001</v>
      </c>
      <c r="K153">
        <v>2018</v>
      </c>
    </row>
    <row r="154" spans="2:11" x14ac:dyDescent="0.35">
      <c r="B154">
        <v>152</v>
      </c>
      <c r="C154" t="s">
        <v>157</v>
      </c>
      <c r="D154">
        <v>3.355</v>
      </c>
      <c r="E154">
        <v>0.442</v>
      </c>
      <c r="F154">
        <v>1.073</v>
      </c>
      <c r="G154">
        <v>0.34300000000000003</v>
      </c>
      <c r="H154">
        <v>0.24399999999999999</v>
      </c>
      <c r="I154">
        <v>8.3000000000000004E-2</v>
      </c>
      <c r="J154">
        <v>6.4000000000000001E-2</v>
      </c>
      <c r="K154">
        <v>2018</v>
      </c>
    </row>
    <row r="155" spans="2:11" x14ac:dyDescent="0.35">
      <c r="B155">
        <v>153</v>
      </c>
      <c r="C155" t="s">
        <v>167</v>
      </c>
      <c r="D155">
        <v>3.3029999999999999</v>
      </c>
      <c r="E155">
        <v>0.45500000000000002</v>
      </c>
      <c r="F155">
        <v>0.99099999999999999</v>
      </c>
      <c r="G155">
        <v>0.38100000000000001</v>
      </c>
      <c r="H155">
        <v>0.48099999999999998</v>
      </c>
      <c r="I155">
        <v>0.27</v>
      </c>
      <c r="J155">
        <v>9.7000000000000003E-2</v>
      </c>
      <c r="K155">
        <v>2018</v>
      </c>
    </row>
    <row r="156" spans="2:11" x14ac:dyDescent="0.35">
      <c r="B156">
        <v>154</v>
      </c>
      <c r="C156" t="s">
        <v>212</v>
      </c>
      <c r="D156">
        <v>3.254</v>
      </c>
      <c r="E156">
        <v>0.33700000000000002</v>
      </c>
      <c r="F156">
        <v>0.60799999999999998</v>
      </c>
      <c r="G156">
        <v>0.17699999999999999</v>
      </c>
      <c r="H156">
        <v>0.112</v>
      </c>
      <c r="I156">
        <v>0.224</v>
      </c>
      <c r="J156">
        <v>0.106</v>
      </c>
      <c r="K156">
        <v>2018</v>
      </c>
    </row>
    <row r="157" spans="2:11" x14ac:dyDescent="0.35">
      <c r="B157">
        <v>155</v>
      </c>
      <c r="C157" t="s">
        <v>169</v>
      </c>
      <c r="D157">
        <v>3.0830000000000002</v>
      </c>
      <c r="E157">
        <v>2.4E-2</v>
      </c>
      <c r="F157">
        <v>0</v>
      </c>
      <c r="G157">
        <v>0.01</v>
      </c>
      <c r="H157">
        <v>0.30499999999999999</v>
      </c>
      <c r="I157">
        <v>0.218</v>
      </c>
      <c r="J157">
        <v>3.7999999999999999E-2</v>
      </c>
      <c r="K157">
        <v>2018</v>
      </c>
    </row>
    <row r="158" spans="2:11" x14ac:dyDescent="0.35">
      <c r="B158">
        <v>156</v>
      </c>
      <c r="C158" t="s">
        <v>178</v>
      </c>
      <c r="D158">
        <v>2.9049999999999998</v>
      </c>
      <c r="E158">
        <v>9.0999999999999998E-2</v>
      </c>
      <c r="F158">
        <v>0.627</v>
      </c>
      <c r="G158">
        <v>0.14499999999999999</v>
      </c>
      <c r="H158">
        <v>6.5000000000000002E-2</v>
      </c>
      <c r="I158">
        <v>0.14899999999999999</v>
      </c>
      <c r="J158">
        <v>7.5999999999999998E-2</v>
      </c>
      <c r="K158">
        <v>2018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8A5ED-8E62-4F79-9666-E58C719ED264}">
  <dimension ref="B2:K158"/>
  <sheetViews>
    <sheetView topLeftCell="A2" zoomScale="80" zoomScaleNormal="80" workbookViewId="0">
      <selection activeCell="E12" sqref="E12"/>
    </sheetView>
  </sheetViews>
  <sheetFormatPr defaultRowHeight="14.5" x14ac:dyDescent="0.35"/>
  <sheetData>
    <row r="2" spans="2:11" x14ac:dyDescent="0.35">
      <c r="B2" t="s">
        <v>223</v>
      </c>
      <c r="C2" t="s">
        <v>224</v>
      </c>
      <c r="D2" t="s">
        <v>225</v>
      </c>
      <c r="E2" t="s">
        <v>226</v>
      </c>
      <c r="F2" t="s">
        <v>227</v>
      </c>
      <c r="G2" t="s">
        <v>228</v>
      </c>
      <c r="H2" t="s">
        <v>229</v>
      </c>
      <c r="I2" t="s">
        <v>10</v>
      </c>
      <c r="J2" t="s">
        <v>230</v>
      </c>
      <c r="K2" t="s">
        <v>198</v>
      </c>
    </row>
    <row r="3" spans="2:11" x14ac:dyDescent="0.35">
      <c r="B3">
        <v>1</v>
      </c>
      <c r="C3" t="s">
        <v>19</v>
      </c>
      <c r="D3">
        <v>7.7690000000000001</v>
      </c>
      <c r="E3">
        <v>1.34</v>
      </c>
      <c r="F3">
        <v>1.587</v>
      </c>
      <c r="G3">
        <v>0.98599999999999999</v>
      </c>
      <c r="H3">
        <v>0.59599999999999997</v>
      </c>
      <c r="I3">
        <v>0.153</v>
      </c>
      <c r="J3">
        <v>0.39300000000000002</v>
      </c>
      <c r="K3">
        <v>2019</v>
      </c>
    </row>
    <row r="4" spans="2:11" x14ac:dyDescent="0.35">
      <c r="B4">
        <v>2</v>
      </c>
      <c r="C4" t="s">
        <v>15</v>
      </c>
      <c r="D4">
        <v>7.6</v>
      </c>
      <c r="E4">
        <v>1.383</v>
      </c>
      <c r="F4">
        <v>1.573</v>
      </c>
      <c r="G4">
        <v>0.996</v>
      </c>
      <c r="H4">
        <v>0.59199999999999997</v>
      </c>
      <c r="I4">
        <v>0.252</v>
      </c>
      <c r="J4">
        <v>0.41</v>
      </c>
      <c r="K4">
        <v>2019</v>
      </c>
    </row>
    <row r="5" spans="2:11" x14ac:dyDescent="0.35">
      <c r="B5">
        <v>3</v>
      </c>
      <c r="C5" t="s">
        <v>16</v>
      </c>
      <c r="D5">
        <v>7.5540000000000003</v>
      </c>
      <c r="E5">
        <v>1.488</v>
      </c>
      <c r="F5">
        <v>1.5820000000000001</v>
      </c>
      <c r="G5">
        <v>1.028</v>
      </c>
      <c r="H5">
        <v>0.60299999999999998</v>
      </c>
      <c r="I5">
        <v>0.27100000000000002</v>
      </c>
      <c r="J5">
        <v>0.34100000000000003</v>
      </c>
      <c r="K5">
        <v>2019</v>
      </c>
    </row>
    <row r="6" spans="2:11" x14ac:dyDescent="0.35">
      <c r="B6">
        <v>4</v>
      </c>
      <c r="C6" t="s">
        <v>14</v>
      </c>
      <c r="D6">
        <v>7.4939999999999998</v>
      </c>
      <c r="E6">
        <v>1.38</v>
      </c>
      <c r="F6">
        <v>1.6240000000000001</v>
      </c>
      <c r="G6">
        <v>1.026</v>
      </c>
      <c r="H6">
        <v>0.59099999999999997</v>
      </c>
      <c r="I6">
        <v>0.35399999999999998</v>
      </c>
      <c r="J6">
        <v>0.11799999999999999</v>
      </c>
      <c r="K6">
        <v>2019</v>
      </c>
    </row>
    <row r="7" spans="2:11" x14ac:dyDescent="0.35">
      <c r="B7">
        <v>5</v>
      </c>
      <c r="C7" t="s">
        <v>20</v>
      </c>
      <c r="D7">
        <v>7.4880000000000004</v>
      </c>
      <c r="E7">
        <v>1.3959999999999999</v>
      </c>
      <c r="F7">
        <v>1.522</v>
      </c>
      <c r="G7">
        <v>0.999</v>
      </c>
      <c r="H7">
        <v>0.55700000000000005</v>
      </c>
      <c r="I7">
        <v>0.32200000000000001</v>
      </c>
      <c r="J7">
        <v>0.29799999999999999</v>
      </c>
      <c r="K7">
        <v>2019</v>
      </c>
    </row>
    <row r="8" spans="2:11" x14ac:dyDescent="0.35">
      <c r="B8">
        <v>6</v>
      </c>
      <c r="C8" t="s">
        <v>12</v>
      </c>
      <c r="D8">
        <v>7.48</v>
      </c>
      <c r="E8">
        <v>1.452</v>
      </c>
      <c r="F8">
        <v>1.526</v>
      </c>
      <c r="G8">
        <v>1.052</v>
      </c>
      <c r="H8">
        <v>0.57199999999999995</v>
      </c>
      <c r="I8">
        <v>0.26300000000000001</v>
      </c>
      <c r="J8">
        <v>0.34300000000000003</v>
      </c>
      <c r="K8">
        <v>2019</v>
      </c>
    </row>
    <row r="9" spans="2:11" x14ac:dyDescent="0.35">
      <c r="B9">
        <v>7</v>
      </c>
      <c r="C9" t="s">
        <v>21</v>
      </c>
      <c r="D9">
        <v>7.343</v>
      </c>
      <c r="E9">
        <v>1.387</v>
      </c>
      <c r="F9">
        <v>1.4870000000000001</v>
      </c>
      <c r="G9">
        <v>1.0089999999999999</v>
      </c>
      <c r="H9">
        <v>0.57399999999999995</v>
      </c>
      <c r="I9">
        <v>0.26700000000000002</v>
      </c>
      <c r="J9">
        <v>0.373</v>
      </c>
      <c r="K9">
        <v>2019</v>
      </c>
    </row>
    <row r="10" spans="2:11" x14ac:dyDescent="0.35">
      <c r="B10">
        <v>8</v>
      </c>
      <c r="C10" t="s">
        <v>22</v>
      </c>
      <c r="D10">
        <v>7.3070000000000004</v>
      </c>
      <c r="E10">
        <v>1.3029999999999999</v>
      </c>
      <c r="F10">
        <v>1.5569999999999999</v>
      </c>
      <c r="G10">
        <v>1.026</v>
      </c>
      <c r="H10">
        <v>0.58499999999999996</v>
      </c>
      <c r="I10">
        <v>0.33</v>
      </c>
      <c r="J10">
        <v>0.38</v>
      </c>
      <c r="K10">
        <v>2019</v>
      </c>
    </row>
    <row r="11" spans="2:11" x14ac:dyDescent="0.35">
      <c r="B11">
        <v>9</v>
      </c>
      <c r="C11" t="s">
        <v>17</v>
      </c>
      <c r="D11">
        <v>7.2779999999999996</v>
      </c>
      <c r="E11">
        <v>1.365</v>
      </c>
      <c r="F11">
        <v>1.5049999999999999</v>
      </c>
      <c r="G11">
        <v>1.0389999999999999</v>
      </c>
      <c r="H11">
        <v>0.58399999999999996</v>
      </c>
      <c r="I11">
        <v>0.28499999999999998</v>
      </c>
      <c r="J11">
        <v>0.308</v>
      </c>
      <c r="K11">
        <v>2019</v>
      </c>
    </row>
    <row r="12" spans="2:11" x14ac:dyDescent="0.35">
      <c r="B12">
        <v>10</v>
      </c>
      <c r="C12" t="s">
        <v>29</v>
      </c>
      <c r="D12">
        <v>7.2460000000000004</v>
      </c>
      <c r="E12">
        <v>1.3759999999999999</v>
      </c>
      <c r="F12">
        <v>1.4750000000000001</v>
      </c>
      <c r="G12">
        <v>1.016</v>
      </c>
      <c r="H12">
        <v>0.53200000000000003</v>
      </c>
      <c r="I12">
        <v>0.24399999999999999</v>
      </c>
      <c r="J12">
        <v>0.22600000000000001</v>
      </c>
      <c r="K12">
        <v>2019</v>
      </c>
    </row>
    <row r="13" spans="2:11" x14ac:dyDescent="0.35">
      <c r="B13">
        <v>11</v>
      </c>
      <c r="C13" t="s">
        <v>24</v>
      </c>
      <c r="D13">
        <v>7.2279999999999998</v>
      </c>
      <c r="E13">
        <v>1.3720000000000001</v>
      </c>
      <c r="F13">
        <v>1.548</v>
      </c>
      <c r="G13">
        <v>1.036</v>
      </c>
      <c r="H13">
        <v>0.55700000000000005</v>
      </c>
      <c r="I13">
        <v>0.33200000000000002</v>
      </c>
      <c r="J13">
        <v>0.28999999999999998</v>
      </c>
      <c r="K13">
        <v>2019</v>
      </c>
    </row>
    <row r="14" spans="2:11" x14ac:dyDescent="0.35">
      <c r="B14">
        <v>12</v>
      </c>
      <c r="C14" t="s">
        <v>27</v>
      </c>
      <c r="D14">
        <v>7.1669999999999998</v>
      </c>
      <c r="E14">
        <v>1.034</v>
      </c>
      <c r="F14">
        <v>1.4410000000000001</v>
      </c>
      <c r="G14">
        <v>0.96299999999999997</v>
      </c>
      <c r="H14">
        <v>0.55800000000000005</v>
      </c>
      <c r="I14">
        <v>0.14399999999999999</v>
      </c>
      <c r="J14">
        <v>9.2999999999999999E-2</v>
      </c>
      <c r="K14">
        <v>2019</v>
      </c>
    </row>
    <row r="15" spans="2:11" x14ac:dyDescent="0.35">
      <c r="B15">
        <v>13</v>
      </c>
      <c r="C15" t="s">
        <v>25</v>
      </c>
      <c r="D15">
        <v>7.1390000000000002</v>
      </c>
      <c r="E15">
        <v>1.276</v>
      </c>
      <c r="F15">
        <v>1.4550000000000001</v>
      </c>
      <c r="G15">
        <v>1.0289999999999999</v>
      </c>
      <c r="H15">
        <v>0.371</v>
      </c>
      <c r="I15">
        <v>0.26100000000000001</v>
      </c>
      <c r="J15">
        <v>8.2000000000000003E-2</v>
      </c>
      <c r="K15">
        <v>2019</v>
      </c>
    </row>
    <row r="16" spans="2:11" x14ac:dyDescent="0.35">
      <c r="B16">
        <v>14</v>
      </c>
      <c r="C16" t="s">
        <v>33</v>
      </c>
      <c r="D16">
        <v>7.09</v>
      </c>
      <c r="E16">
        <v>1.609</v>
      </c>
      <c r="F16">
        <v>1.4790000000000001</v>
      </c>
      <c r="G16">
        <v>1.012</v>
      </c>
      <c r="H16">
        <v>0.52600000000000002</v>
      </c>
      <c r="I16">
        <v>0.19400000000000001</v>
      </c>
      <c r="J16">
        <v>0.316</v>
      </c>
      <c r="K16">
        <v>2019</v>
      </c>
    </row>
    <row r="17" spans="2:11" x14ac:dyDescent="0.35">
      <c r="B17">
        <v>15</v>
      </c>
      <c r="C17" t="s">
        <v>37</v>
      </c>
      <c r="D17">
        <v>7.0540000000000003</v>
      </c>
      <c r="E17">
        <v>1.333</v>
      </c>
      <c r="F17">
        <v>1.538</v>
      </c>
      <c r="G17">
        <v>0.996</v>
      </c>
      <c r="H17">
        <v>0.45</v>
      </c>
      <c r="I17">
        <v>0.34799999999999998</v>
      </c>
      <c r="J17">
        <v>0.27800000000000002</v>
      </c>
      <c r="K17">
        <v>2019</v>
      </c>
    </row>
    <row r="18" spans="2:11" x14ac:dyDescent="0.35">
      <c r="B18">
        <v>16</v>
      </c>
      <c r="C18" t="s">
        <v>34</v>
      </c>
      <c r="D18">
        <v>7.0209999999999999</v>
      </c>
      <c r="E18">
        <v>1.4990000000000001</v>
      </c>
      <c r="F18">
        <v>1.5529999999999999</v>
      </c>
      <c r="G18">
        <v>0.999</v>
      </c>
      <c r="H18">
        <v>0.51600000000000001</v>
      </c>
      <c r="I18">
        <v>0.29799999999999999</v>
      </c>
      <c r="J18">
        <v>0.31</v>
      </c>
      <c r="K18">
        <v>2019</v>
      </c>
    </row>
    <row r="19" spans="2:11" x14ac:dyDescent="0.35">
      <c r="B19">
        <v>17</v>
      </c>
      <c r="C19" t="s">
        <v>43</v>
      </c>
      <c r="D19">
        <v>6.9850000000000003</v>
      </c>
      <c r="E19">
        <v>1.373</v>
      </c>
      <c r="F19">
        <v>1.454</v>
      </c>
      <c r="G19">
        <v>0.98699999999999999</v>
      </c>
      <c r="H19">
        <v>0.495</v>
      </c>
      <c r="I19">
        <v>0.26100000000000001</v>
      </c>
      <c r="J19">
        <v>0.26500000000000001</v>
      </c>
      <c r="K19">
        <v>2019</v>
      </c>
    </row>
    <row r="20" spans="2:11" x14ac:dyDescent="0.35">
      <c r="B20">
        <v>18</v>
      </c>
      <c r="C20" t="s">
        <v>35</v>
      </c>
      <c r="D20">
        <v>6.923</v>
      </c>
      <c r="E20">
        <v>1.3560000000000001</v>
      </c>
      <c r="F20">
        <v>1.504</v>
      </c>
      <c r="G20">
        <v>0.98599999999999999</v>
      </c>
      <c r="H20">
        <v>0.47299999999999998</v>
      </c>
      <c r="I20">
        <v>0.16</v>
      </c>
      <c r="J20">
        <v>0.21</v>
      </c>
      <c r="K20">
        <v>2019</v>
      </c>
    </row>
    <row r="21" spans="2:11" x14ac:dyDescent="0.35">
      <c r="B21">
        <v>19</v>
      </c>
      <c r="C21" t="s">
        <v>31</v>
      </c>
      <c r="D21">
        <v>6.8920000000000003</v>
      </c>
      <c r="E21">
        <v>1.4330000000000001</v>
      </c>
      <c r="F21">
        <v>1.4570000000000001</v>
      </c>
      <c r="G21">
        <v>0.874</v>
      </c>
      <c r="H21">
        <v>0.45400000000000001</v>
      </c>
      <c r="I21">
        <v>0.28000000000000003</v>
      </c>
      <c r="J21">
        <v>0.128</v>
      </c>
      <c r="K21">
        <v>2019</v>
      </c>
    </row>
    <row r="22" spans="2:11" x14ac:dyDescent="0.35">
      <c r="B22">
        <v>20</v>
      </c>
      <c r="C22" t="s">
        <v>48</v>
      </c>
      <c r="D22">
        <v>6.8520000000000003</v>
      </c>
      <c r="E22">
        <v>1.2689999999999999</v>
      </c>
      <c r="F22">
        <v>1.4870000000000001</v>
      </c>
      <c r="G22">
        <v>0.92</v>
      </c>
      <c r="H22">
        <v>0.45700000000000002</v>
      </c>
      <c r="I22">
        <v>4.5999999999999999E-2</v>
      </c>
      <c r="J22">
        <v>3.5999999999999997E-2</v>
      </c>
      <c r="K22">
        <v>2019</v>
      </c>
    </row>
    <row r="23" spans="2:11" x14ac:dyDescent="0.35">
      <c r="B23">
        <v>21</v>
      </c>
      <c r="C23" t="s">
        <v>36</v>
      </c>
      <c r="D23">
        <v>6.8250000000000002</v>
      </c>
      <c r="E23">
        <v>1.5029999999999999</v>
      </c>
      <c r="F23">
        <v>1.31</v>
      </c>
      <c r="G23">
        <v>0.82499999999999996</v>
      </c>
      <c r="H23">
        <v>0.59799999999999998</v>
      </c>
      <c r="I23">
        <v>0.26200000000000001</v>
      </c>
      <c r="J23">
        <v>0.182</v>
      </c>
      <c r="K23">
        <v>2019</v>
      </c>
    </row>
    <row r="24" spans="2:11" x14ac:dyDescent="0.35">
      <c r="B24">
        <v>22</v>
      </c>
      <c r="C24" t="s">
        <v>55</v>
      </c>
      <c r="D24">
        <v>6.726</v>
      </c>
      <c r="E24">
        <v>1.3</v>
      </c>
      <c r="F24">
        <v>1.52</v>
      </c>
      <c r="G24">
        <v>0.999</v>
      </c>
      <c r="H24">
        <v>0.56399999999999995</v>
      </c>
      <c r="I24">
        <v>0.375</v>
      </c>
      <c r="J24">
        <v>0.151</v>
      </c>
      <c r="K24">
        <v>2019</v>
      </c>
    </row>
    <row r="25" spans="2:11" x14ac:dyDescent="0.35">
      <c r="B25">
        <v>23</v>
      </c>
      <c r="C25" t="s">
        <v>30</v>
      </c>
      <c r="D25">
        <v>6.5949999999999998</v>
      </c>
      <c r="E25">
        <v>1.07</v>
      </c>
      <c r="F25">
        <v>1.323</v>
      </c>
      <c r="G25">
        <v>0.86099999999999999</v>
      </c>
      <c r="H25">
        <v>0.433</v>
      </c>
      <c r="I25">
        <v>7.3999999999999996E-2</v>
      </c>
      <c r="J25">
        <v>7.2999999999999995E-2</v>
      </c>
      <c r="K25">
        <v>2019</v>
      </c>
    </row>
    <row r="26" spans="2:11" x14ac:dyDescent="0.35">
      <c r="B26">
        <v>24</v>
      </c>
      <c r="C26" t="s">
        <v>46</v>
      </c>
      <c r="D26">
        <v>6.5919999999999996</v>
      </c>
      <c r="E26">
        <v>1.3240000000000001</v>
      </c>
      <c r="F26">
        <v>1.472</v>
      </c>
      <c r="G26">
        <v>1.0449999999999999</v>
      </c>
      <c r="H26">
        <v>0.436</v>
      </c>
      <c r="I26">
        <v>0.111</v>
      </c>
      <c r="J26">
        <v>0.183</v>
      </c>
      <c r="K26">
        <v>2019</v>
      </c>
    </row>
    <row r="27" spans="2:11" x14ac:dyDescent="0.35">
      <c r="B27">
        <v>25</v>
      </c>
      <c r="C27" t="s">
        <v>56</v>
      </c>
      <c r="D27">
        <v>6.4459999999999997</v>
      </c>
      <c r="E27">
        <v>1.3680000000000001</v>
      </c>
      <c r="F27">
        <v>1.43</v>
      </c>
      <c r="G27">
        <v>0.91400000000000003</v>
      </c>
      <c r="H27">
        <v>0.35099999999999998</v>
      </c>
      <c r="I27">
        <v>0.24199999999999999</v>
      </c>
      <c r="J27">
        <v>9.7000000000000003E-2</v>
      </c>
      <c r="K27">
        <v>2019</v>
      </c>
    </row>
    <row r="28" spans="2:11" x14ac:dyDescent="0.35">
      <c r="B28">
        <v>26</v>
      </c>
      <c r="C28" t="s">
        <v>44</v>
      </c>
      <c r="D28">
        <v>6.444</v>
      </c>
      <c r="E28">
        <v>1.159</v>
      </c>
      <c r="F28">
        <v>1.369</v>
      </c>
      <c r="G28">
        <v>0.92</v>
      </c>
      <c r="H28">
        <v>0.35699999999999998</v>
      </c>
      <c r="I28">
        <v>0.187</v>
      </c>
      <c r="J28">
        <v>5.6000000000000001E-2</v>
      </c>
      <c r="K28">
        <v>2019</v>
      </c>
    </row>
    <row r="29" spans="2:11" x14ac:dyDescent="0.35">
      <c r="B29">
        <v>27</v>
      </c>
      <c r="C29" t="s">
        <v>62</v>
      </c>
      <c r="D29">
        <v>6.4359999999999999</v>
      </c>
      <c r="E29">
        <v>0.8</v>
      </c>
      <c r="F29">
        <v>1.2689999999999999</v>
      </c>
      <c r="G29">
        <v>0.746</v>
      </c>
      <c r="H29">
        <v>0.53500000000000003</v>
      </c>
      <c r="I29">
        <v>0.17499999999999999</v>
      </c>
      <c r="J29">
        <v>7.8E-2</v>
      </c>
      <c r="K29">
        <v>2019</v>
      </c>
    </row>
    <row r="30" spans="2:11" x14ac:dyDescent="0.35">
      <c r="B30">
        <v>28</v>
      </c>
      <c r="C30" t="s">
        <v>53</v>
      </c>
      <c r="D30">
        <v>6.375</v>
      </c>
      <c r="E30">
        <v>1.403</v>
      </c>
      <c r="F30">
        <v>1.357</v>
      </c>
      <c r="G30">
        <v>0.79500000000000004</v>
      </c>
      <c r="H30">
        <v>0.439</v>
      </c>
      <c r="I30">
        <v>0.08</v>
      </c>
      <c r="J30">
        <v>0.13200000000000001</v>
      </c>
      <c r="K30">
        <v>2019</v>
      </c>
    </row>
    <row r="31" spans="2:11" x14ac:dyDescent="0.35">
      <c r="B31">
        <v>29</v>
      </c>
      <c r="C31" t="s">
        <v>45</v>
      </c>
      <c r="D31">
        <v>6.3739999999999997</v>
      </c>
      <c r="E31">
        <v>1.6839999999999999</v>
      </c>
      <c r="F31">
        <v>1.3129999999999999</v>
      </c>
      <c r="G31">
        <v>0.871</v>
      </c>
      <c r="H31">
        <v>0.55500000000000005</v>
      </c>
      <c r="I31">
        <v>0.22</v>
      </c>
      <c r="J31">
        <v>0.16700000000000001</v>
      </c>
      <c r="K31">
        <v>2019</v>
      </c>
    </row>
    <row r="32" spans="2:11" x14ac:dyDescent="0.35">
      <c r="B32">
        <v>30</v>
      </c>
      <c r="C32" t="s">
        <v>54</v>
      </c>
      <c r="D32">
        <v>6.3540000000000001</v>
      </c>
      <c r="E32">
        <v>1.286</v>
      </c>
      <c r="F32">
        <v>1.484</v>
      </c>
      <c r="G32">
        <v>1.0620000000000001</v>
      </c>
      <c r="H32">
        <v>0.36199999999999999</v>
      </c>
      <c r="I32">
        <v>0.153</v>
      </c>
      <c r="J32">
        <v>7.9000000000000001E-2</v>
      </c>
      <c r="K32">
        <v>2019</v>
      </c>
    </row>
    <row r="33" spans="2:11" x14ac:dyDescent="0.35">
      <c r="B33">
        <v>31</v>
      </c>
      <c r="C33" t="s">
        <v>42</v>
      </c>
      <c r="D33">
        <v>6.3209999999999997</v>
      </c>
      <c r="E33">
        <v>1.149</v>
      </c>
      <c r="F33">
        <v>1.4419999999999999</v>
      </c>
      <c r="G33">
        <v>0.91</v>
      </c>
      <c r="H33">
        <v>0.51600000000000001</v>
      </c>
      <c r="I33">
        <v>0.109</v>
      </c>
      <c r="J33">
        <v>5.3999999999999999E-2</v>
      </c>
      <c r="K33">
        <v>2019</v>
      </c>
    </row>
    <row r="34" spans="2:11" x14ac:dyDescent="0.35">
      <c r="B34">
        <v>32</v>
      </c>
      <c r="C34" t="s">
        <v>32</v>
      </c>
      <c r="D34">
        <v>6.3</v>
      </c>
      <c r="E34">
        <v>1.004</v>
      </c>
      <c r="F34">
        <v>1.4390000000000001</v>
      </c>
      <c r="G34">
        <v>0.80200000000000005</v>
      </c>
      <c r="H34">
        <v>0.39</v>
      </c>
      <c r="I34">
        <v>9.9000000000000005E-2</v>
      </c>
      <c r="J34">
        <v>8.5999999999999993E-2</v>
      </c>
      <c r="K34">
        <v>2019</v>
      </c>
    </row>
    <row r="35" spans="2:11" x14ac:dyDescent="0.35">
      <c r="B35">
        <v>33</v>
      </c>
      <c r="C35" t="s">
        <v>50</v>
      </c>
      <c r="D35">
        <v>6.2930000000000001</v>
      </c>
      <c r="E35">
        <v>1.1240000000000001</v>
      </c>
      <c r="F35">
        <v>1.4650000000000001</v>
      </c>
      <c r="G35">
        <v>0.89100000000000001</v>
      </c>
      <c r="H35">
        <v>0.52300000000000002</v>
      </c>
      <c r="I35">
        <v>0.127</v>
      </c>
      <c r="J35">
        <v>0.15</v>
      </c>
      <c r="K35">
        <v>2019</v>
      </c>
    </row>
    <row r="36" spans="2:11" x14ac:dyDescent="0.35">
      <c r="B36">
        <v>34</v>
      </c>
      <c r="C36" t="s">
        <v>40</v>
      </c>
      <c r="D36">
        <v>6.2619999999999996</v>
      </c>
      <c r="E36">
        <v>1.5720000000000001</v>
      </c>
      <c r="F36">
        <v>1.4630000000000001</v>
      </c>
      <c r="G36">
        <v>1.141</v>
      </c>
      <c r="H36">
        <v>0.55600000000000005</v>
      </c>
      <c r="I36">
        <v>0.27100000000000002</v>
      </c>
      <c r="J36">
        <v>0.45300000000000001</v>
      </c>
      <c r="K36">
        <v>2019</v>
      </c>
    </row>
    <row r="37" spans="2:11" x14ac:dyDescent="0.35">
      <c r="B37">
        <v>35</v>
      </c>
      <c r="C37" t="s">
        <v>61</v>
      </c>
      <c r="D37">
        <v>6.2530000000000001</v>
      </c>
      <c r="E37">
        <v>0.79400000000000004</v>
      </c>
      <c r="F37">
        <v>1.242</v>
      </c>
      <c r="G37">
        <v>0.78900000000000003</v>
      </c>
      <c r="H37">
        <v>0.43</v>
      </c>
      <c r="I37">
        <v>9.2999999999999999E-2</v>
      </c>
      <c r="J37">
        <v>7.3999999999999996E-2</v>
      </c>
      <c r="K37">
        <v>2019</v>
      </c>
    </row>
    <row r="38" spans="2:11" x14ac:dyDescent="0.35">
      <c r="B38">
        <v>36</v>
      </c>
      <c r="C38" t="s">
        <v>69</v>
      </c>
      <c r="D38">
        <v>6.2229999999999999</v>
      </c>
      <c r="E38">
        <v>1.294</v>
      </c>
      <c r="F38">
        <v>1.488</v>
      </c>
      <c r="G38">
        <v>1.0389999999999999</v>
      </c>
      <c r="H38">
        <v>0.23100000000000001</v>
      </c>
      <c r="I38">
        <v>0.158</v>
      </c>
      <c r="J38">
        <v>0.03</v>
      </c>
      <c r="K38">
        <v>2019</v>
      </c>
    </row>
    <row r="39" spans="2:11" x14ac:dyDescent="0.35">
      <c r="B39">
        <v>37</v>
      </c>
      <c r="C39" t="s">
        <v>68</v>
      </c>
      <c r="D39">
        <v>6.1989999999999998</v>
      </c>
      <c r="E39">
        <v>1.3620000000000001</v>
      </c>
      <c r="F39">
        <v>1.3680000000000001</v>
      </c>
      <c r="G39">
        <v>0.871</v>
      </c>
      <c r="H39">
        <v>0.53600000000000003</v>
      </c>
      <c r="I39">
        <v>0.255</v>
      </c>
      <c r="J39">
        <v>0.11</v>
      </c>
      <c r="K39">
        <v>2019</v>
      </c>
    </row>
    <row r="40" spans="2:11" x14ac:dyDescent="0.35">
      <c r="B40">
        <v>38</v>
      </c>
      <c r="C40" t="s">
        <v>64</v>
      </c>
      <c r="D40">
        <v>6.1980000000000004</v>
      </c>
      <c r="E40">
        <v>1.246</v>
      </c>
      <c r="F40">
        <v>1.504</v>
      </c>
      <c r="G40">
        <v>0.88100000000000001</v>
      </c>
      <c r="H40">
        <v>0.33400000000000002</v>
      </c>
      <c r="I40">
        <v>0.121</v>
      </c>
      <c r="J40">
        <v>1.4E-2</v>
      </c>
      <c r="K40">
        <v>2019</v>
      </c>
    </row>
    <row r="41" spans="2:11" x14ac:dyDescent="0.35">
      <c r="B41">
        <v>39</v>
      </c>
      <c r="C41" t="s">
        <v>232</v>
      </c>
      <c r="D41">
        <v>6.1920000000000002</v>
      </c>
      <c r="E41">
        <v>1.2310000000000001</v>
      </c>
      <c r="F41">
        <v>1.4770000000000001</v>
      </c>
      <c r="G41">
        <v>0.71299999999999997</v>
      </c>
      <c r="H41">
        <v>0.48899999999999999</v>
      </c>
      <c r="I41">
        <v>0.185</v>
      </c>
      <c r="J41">
        <v>1.6E-2</v>
      </c>
      <c r="K41">
        <v>2019</v>
      </c>
    </row>
    <row r="42" spans="2:11" x14ac:dyDescent="0.35">
      <c r="B42">
        <v>40</v>
      </c>
      <c r="C42" t="s">
        <v>79</v>
      </c>
      <c r="D42">
        <v>6.1820000000000004</v>
      </c>
      <c r="E42">
        <v>1.206</v>
      </c>
      <c r="F42">
        <v>1.4379999999999999</v>
      </c>
      <c r="G42">
        <v>0.88400000000000001</v>
      </c>
      <c r="H42">
        <v>0.48299999999999998</v>
      </c>
      <c r="I42">
        <v>0.11700000000000001</v>
      </c>
      <c r="J42">
        <v>0.05</v>
      </c>
      <c r="K42">
        <v>2019</v>
      </c>
    </row>
    <row r="43" spans="2:11" x14ac:dyDescent="0.35">
      <c r="B43">
        <v>41</v>
      </c>
      <c r="C43" t="s">
        <v>63</v>
      </c>
      <c r="D43">
        <v>6.1740000000000004</v>
      </c>
      <c r="E43">
        <v>0.745</v>
      </c>
      <c r="F43">
        <v>1.5289999999999999</v>
      </c>
      <c r="G43">
        <v>0.75600000000000001</v>
      </c>
      <c r="H43">
        <v>0.63100000000000001</v>
      </c>
      <c r="I43">
        <v>0.32200000000000001</v>
      </c>
      <c r="J43">
        <v>0.24</v>
      </c>
      <c r="K43">
        <v>2019</v>
      </c>
    </row>
    <row r="44" spans="2:11" x14ac:dyDescent="0.35">
      <c r="B44">
        <v>42</v>
      </c>
      <c r="C44" t="s">
        <v>75</v>
      </c>
      <c r="D44">
        <v>6.149</v>
      </c>
      <c r="E44">
        <v>1.238</v>
      </c>
      <c r="F44">
        <v>1.5149999999999999</v>
      </c>
      <c r="G44">
        <v>0.81799999999999995</v>
      </c>
      <c r="H44">
        <v>0.29099999999999998</v>
      </c>
      <c r="I44">
        <v>4.2999999999999997E-2</v>
      </c>
      <c r="J44">
        <v>4.2000000000000003E-2</v>
      </c>
      <c r="K44">
        <v>2019</v>
      </c>
    </row>
    <row r="45" spans="2:11" x14ac:dyDescent="0.35">
      <c r="B45">
        <v>43</v>
      </c>
      <c r="C45" t="s">
        <v>51</v>
      </c>
      <c r="D45">
        <v>6.125</v>
      </c>
      <c r="E45">
        <v>0.98499999999999999</v>
      </c>
      <c r="F45">
        <v>1.41</v>
      </c>
      <c r="G45">
        <v>0.84099999999999997</v>
      </c>
      <c r="H45">
        <v>0.47</v>
      </c>
      <c r="I45">
        <v>9.9000000000000005E-2</v>
      </c>
      <c r="J45">
        <v>3.4000000000000002E-2</v>
      </c>
      <c r="K45">
        <v>2019</v>
      </c>
    </row>
    <row r="46" spans="2:11" x14ac:dyDescent="0.35">
      <c r="B46">
        <v>44</v>
      </c>
      <c r="C46" t="s">
        <v>74</v>
      </c>
      <c r="D46">
        <v>6.1180000000000003</v>
      </c>
      <c r="E46">
        <v>1.258</v>
      </c>
      <c r="F46">
        <v>1.5229999999999999</v>
      </c>
      <c r="G46">
        <v>0.95299999999999996</v>
      </c>
      <c r="H46">
        <v>0.56399999999999995</v>
      </c>
      <c r="I46">
        <v>0.14399999999999999</v>
      </c>
      <c r="J46">
        <v>5.7000000000000002E-2</v>
      </c>
      <c r="K46">
        <v>2019</v>
      </c>
    </row>
    <row r="47" spans="2:11" x14ac:dyDescent="0.35">
      <c r="B47">
        <v>45</v>
      </c>
      <c r="C47" t="s">
        <v>76</v>
      </c>
      <c r="D47">
        <v>6.1050000000000004</v>
      </c>
      <c r="E47">
        <v>0.69399999999999995</v>
      </c>
      <c r="F47">
        <v>1.325</v>
      </c>
      <c r="G47">
        <v>0.83499999999999996</v>
      </c>
      <c r="H47">
        <v>0.435</v>
      </c>
      <c r="I47">
        <v>0.2</v>
      </c>
      <c r="J47">
        <v>0.127</v>
      </c>
      <c r="K47">
        <v>2019</v>
      </c>
    </row>
    <row r="48" spans="2:11" x14ac:dyDescent="0.35">
      <c r="B48">
        <v>46</v>
      </c>
      <c r="C48" t="s">
        <v>88</v>
      </c>
      <c r="D48">
        <v>6.1</v>
      </c>
      <c r="E48">
        <v>0.88200000000000001</v>
      </c>
      <c r="F48">
        <v>1.232</v>
      </c>
      <c r="G48">
        <v>0.75800000000000001</v>
      </c>
      <c r="H48">
        <v>0.48899999999999999</v>
      </c>
      <c r="I48">
        <v>0.26200000000000001</v>
      </c>
      <c r="J48">
        <v>6.0000000000000001E-3</v>
      </c>
      <c r="K48">
        <v>2019</v>
      </c>
    </row>
    <row r="49" spans="2:11" x14ac:dyDescent="0.35">
      <c r="B49">
        <v>47</v>
      </c>
      <c r="C49" t="s">
        <v>47</v>
      </c>
      <c r="D49">
        <v>6.0860000000000003</v>
      </c>
      <c r="E49">
        <v>1.0920000000000001</v>
      </c>
      <c r="F49">
        <v>1.4319999999999999</v>
      </c>
      <c r="G49">
        <v>0.88100000000000001</v>
      </c>
      <c r="H49">
        <v>0.47099999999999997</v>
      </c>
      <c r="I49">
        <v>6.6000000000000003E-2</v>
      </c>
      <c r="J49">
        <v>0.05</v>
      </c>
      <c r="K49">
        <v>2019</v>
      </c>
    </row>
    <row r="50" spans="2:11" x14ac:dyDescent="0.35">
      <c r="B50">
        <v>48</v>
      </c>
      <c r="C50" t="s">
        <v>107</v>
      </c>
      <c r="D50">
        <v>6.07</v>
      </c>
      <c r="E50">
        <v>1.1619999999999999</v>
      </c>
      <c r="F50">
        <v>1.232</v>
      </c>
      <c r="G50">
        <v>0.82499999999999996</v>
      </c>
      <c r="H50">
        <v>0.46200000000000002</v>
      </c>
      <c r="I50">
        <v>8.3000000000000004E-2</v>
      </c>
      <c r="J50">
        <v>5.0000000000000001E-3</v>
      </c>
      <c r="K50">
        <v>2019</v>
      </c>
    </row>
    <row r="51" spans="2:11" x14ac:dyDescent="0.35">
      <c r="B51">
        <v>49</v>
      </c>
      <c r="C51" t="s">
        <v>86</v>
      </c>
      <c r="D51">
        <v>6.0460000000000003</v>
      </c>
      <c r="E51">
        <v>1.2629999999999999</v>
      </c>
      <c r="F51">
        <v>1.2230000000000001</v>
      </c>
      <c r="G51">
        <v>1.042</v>
      </c>
      <c r="H51">
        <v>0.40600000000000003</v>
      </c>
      <c r="I51">
        <v>0.19</v>
      </c>
      <c r="J51">
        <v>4.1000000000000002E-2</v>
      </c>
      <c r="K51">
        <v>2019</v>
      </c>
    </row>
    <row r="52" spans="2:11" x14ac:dyDescent="0.35">
      <c r="B52">
        <v>50</v>
      </c>
      <c r="C52" t="s">
        <v>67</v>
      </c>
      <c r="D52">
        <v>6.0279999999999996</v>
      </c>
      <c r="E52">
        <v>0.91200000000000003</v>
      </c>
      <c r="F52">
        <v>1.3120000000000001</v>
      </c>
      <c r="G52">
        <v>0.86799999999999999</v>
      </c>
      <c r="H52">
        <v>0.498</v>
      </c>
      <c r="I52">
        <v>0.126</v>
      </c>
      <c r="J52">
        <v>8.6999999999999994E-2</v>
      </c>
      <c r="K52">
        <v>2019</v>
      </c>
    </row>
    <row r="53" spans="2:11" x14ac:dyDescent="0.35">
      <c r="B53">
        <v>51</v>
      </c>
      <c r="C53" t="s">
        <v>58</v>
      </c>
      <c r="D53">
        <v>6.0209999999999999</v>
      </c>
      <c r="E53">
        <v>1.5</v>
      </c>
      <c r="F53">
        <v>1.319</v>
      </c>
      <c r="G53">
        <v>0.80800000000000005</v>
      </c>
      <c r="H53">
        <v>0.49299999999999999</v>
      </c>
      <c r="I53">
        <v>0.14199999999999999</v>
      </c>
      <c r="J53">
        <v>9.7000000000000003E-2</v>
      </c>
      <c r="K53">
        <v>2019</v>
      </c>
    </row>
    <row r="54" spans="2:11" x14ac:dyDescent="0.35">
      <c r="B54">
        <v>52</v>
      </c>
      <c r="C54" t="s">
        <v>52</v>
      </c>
      <c r="D54">
        <v>6.008</v>
      </c>
      <c r="E54">
        <v>1.05</v>
      </c>
      <c r="F54">
        <v>1.409</v>
      </c>
      <c r="G54">
        <v>0.82799999999999996</v>
      </c>
      <c r="H54">
        <v>0.55700000000000005</v>
      </c>
      <c r="I54">
        <v>0.35899999999999999</v>
      </c>
      <c r="J54">
        <v>2.8000000000000001E-2</v>
      </c>
      <c r="K54">
        <v>2019</v>
      </c>
    </row>
    <row r="55" spans="2:11" x14ac:dyDescent="0.35">
      <c r="B55">
        <v>53</v>
      </c>
      <c r="C55" t="s">
        <v>110</v>
      </c>
      <c r="D55">
        <v>5.94</v>
      </c>
      <c r="E55">
        <v>1.1870000000000001</v>
      </c>
      <c r="F55">
        <v>1.4650000000000001</v>
      </c>
      <c r="G55">
        <v>0.81200000000000006</v>
      </c>
      <c r="H55">
        <v>0.26400000000000001</v>
      </c>
      <c r="I55">
        <v>7.4999999999999997E-2</v>
      </c>
      <c r="J55">
        <v>6.4000000000000001E-2</v>
      </c>
      <c r="K55">
        <v>2019</v>
      </c>
    </row>
    <row r="56" spans="2:11" x14ac:dyDescent="0.35">
      <c r="B56">
        <v>54</v>
      </c>
      <c r="C56" t="s">
        <v>66</v>
      </c>
      <c r="D56">
        <v>5.8949999999999996</v>
      </c>
      <c r="E56">
        <v>1.3009999999999999</v>
      </c>
      <c r="F56">
        <v>1.2190000000000001</v>
      </c>
      <c r="G56">
        <v>1.036</v>
      </c>
      <c r="H56">
        <v>0.159</v>
      </c>
      <c r="I56">
        <v>0.17499999999999999</v>
      </c>
      <c r="J56">
        <v>5.6000000000000001E-2</v>
      </c>
      <c r="K56">
        <v>2019</v>
      </c>
    </row>
    <row r="57" spans="2:11" x14ac:dyDescent="0.35">
      <c r="B57">
        <v>55</v>
      </c>
      <c r="C57" t="s">
        <v>93</v>
      </c>
      <c r="D57">
        <v>5.8929999999999998</v>
      </c>
      <c r="E57">
        <v>1.2370000000000001</v>
      </c>
      <c r="F57">
        <v>1.528</v>
      </c>
      <c r="G57">
        <v>0.874</v>
      </c>
      <c r="H57">
        <v>0.495</v>
      </c>
      <c r="I57">
        <v>0.10299999999999999</v>
      </c>
      <c r="J57">
        <v>0.161</v>
      </c>
      <c r="K57">
        <v>2019</v>
      </c>
    </row>
    <row r="58" spans="2:11" x14ac:dyDescent="0.35">
      <c r="B58">
        <v>56</v>
      </c>
      <c r="C58" t="s">
        <v>84</v>
      </c>
      <c r="D58">
        <v>5.89</v>
      </c>
      <c r="E58">
        <v>0.83099999999999996</v>
      </c>
      <c r="F58">
        <v>1.478</v>
      </c>
      <c r="G58">
        <v>0.83099999999999996</v>
      </c>
      <c r="H58">
        <v>0.49</v>
      </c>
      <c r="I58">
        <v>0.107</v>
      </c>
      <c r="J58">
        <v>2.8000000000000001E-2</v>
      </c>
      <c r="K58">
        <v>2019</v>
      </c>
    </row>
    <row r="59" spans="2:11" x14ac:dyDescent="0.35">
      <c r="B59">
        <v>57</v>
      </c>
      <c r="C59" t="s">
        <v>90</v>
      </c>
      <c r="D59">
        <v>5.8879999999999999</v>
      </c>
      <c r="E59">
        <v>1.1200000000000001</v>
      </c>
      <c r="F59">
        <v>1.4019999999999999</v>
      </c>
      <c r="G59">
        <v>0.79800000000000004</v>
      </c>
      <c r="H59">
        <v>0.498</v>
      </c>
      <c r="I59">
        <v>0.215</v>
      </c>
      <c r="J59">
        <v>0.06</v>
      </c>
      <c r="K59">
        <v>2019</v>
      </c>
    </row>
    <row r="60" spans="2:11" x14ac:dyDescent="0.35">
      <c r="B60">
        <v>58</v>
      </c>
      <c r="C60" t="s">
        <v>65</v>
      </c>
      <c r="D60">
        <v>5.8860000000000001</v>
      </c>
      <c r="E60">
        <v>1.327</v>
      </c>
      <c r="F60">
        <v>1.419</v>
      </c>
      <c r="G60">
        <v>1.0880000000000001</v>
      </c>
      <c r="H60">
        <v>0.44500000000000001</v>
      </c>
      <c r="I60">
        <v>6.9000000000000006E-2</v>
      </c>
      <c r="J60">
        <v>0.14000000000000001</v>
      </c>
      <c r="K60">
        <v>2019</v>
      </c>
    </row>
    <row r="61" spans="2:11" x14ac:dyDescent="0.35">
      <c r="B61">
        <v>59</v>
      </c>
      <c r="C61" t="s">
        <v>126</v>
      </c>
      <c r="D61">
        <v>5.86</v>
      </c>
      <c r="E61">
        <v>0.64200000000000002</v>
      </c>
      <c r="F61">
        <v>1.236</v>
      </c>
      <c r="G61">
        <v>0.82799999999999996</v>
      </c>
      <c r="H61">
        <v>0.50700000000000001</v>
      </c>
      <c r="I61">
        <v>0.246</v>
      </c>
      <c r="J61">
        <v>7.8E-2</v>
      </c>
      <c r="K61">
        <v>2019</v>
      </c>
    </row>
    <row r="62" spans="2:11" x14ac:dyDescent="0.35">
      <c r="B62">
        <v>60</v>
      </c>
      <c r="C62" t="s">
        <v>73</v>
      </c>
      <c r="D62">
        <v>5.8090000000000002</v>
      </c>
      <c r="E62">
        <v>1.173</v>
      </c>
      <c r="F62">
        <v>1.508</v>
      </c>
      <c r="G62">
        <v>0.72899999999999998</v>
      </c>
      <c r="H62">
        <v>0.41</v>
      </c>
      <c r="I62">
        <v>0.14599999999999999</v>
      </c>
      <c r="J62">
        <v>9.6000000000000002E-2</v>
      </c>
      <c r="K62">
        <v>2019</v>
      </c>
    </row>
    <row r="63" spans="2:11" x14ac:dyDescent="0.35">
      <c r="B63">
        <v>61</v>
      </c>
      <c r="C63" t="s">
        <v>70</v>
      </c>
      <c r="D63">
        <v>5.7789999999999999</v>
      </c>
      <c r="E63">
        <v>0.77600000000000002</v>
      </c>
      <c r="F63">
        <v>1.2090000000000001</v>
      </c>
      <c r="G63">
        <v>0.70599999999999996</v>
      </c>
      <c r="H63">
        <v>0.51100000000000001</v>
      </c>
      <c r="I63">
        <v>0.13700000000000001</v>
      </c>
      <c r="J63">
        <v>6.4000000000000001E-2</v>
      </c>
      <c r="K63">
        <v>2019</v>
      </c>
    </row>
    <row r="64" spans="2:11" x14ac:dyDescent="0.35">
      <c r="B64">
        <v>62</v>
      </c>
      <c r="C64" t="s">
        <v>125</v>
      </c>
      <c r="D64">
        <v>5.758</v>
      </c>
      <c r="E64">
        <v>1.2010000000000001</v>
      </c>
      <c r="F64">
        <v>1.41</v>
      </c>
      <c r="G64">
        <v>0.82799999999999996</v>
      </c>
      <c r="H64">
        <v>0.19900000000000001</v>
      </c>
      <c r="I64">
        <v>8.1000000000000003E-2</v>
      </c>
      <c r="J64">
        <v>0.02</v>
      </c>
      <c r="K64">
        <v>2019</v>
      </c>
    </row>
    <row r="65" spans="2:11" x14ac:dyDescent="0.35">
      <c r="B65">
        <v>63</v>
      </c>
      <c r="C65" t="s">
        <v>72</v>
      </c>
      <c r="D65">
        <v>5.7430000000000003</v>
      </c>
      <c r="E65">
        <v>0.85499999999999998</v>
      </c>
      <c r="F65">
        <v>1.4750000000000001</v>
      </c>
      <c r="G65">
        <v>0.77700000000000002</v>
      </c>
      <c r="H65">
        <v>0.51400000000000001</v>
      </c>
      <c r="I65">
        <v>0.184</v>
      </c>
      <c r="J65">
        <v>0.08</v>
      </c>
      <c r="K65">
        <v>2019</v>
      </c>
    </row>
    <row r="66" spans="2:11" x14ac:dyDescent="0.35">
      <c r="B66">
        <v>64</v>
      </c>
      <c r="C66" t="s">
        <v>233</v>
      </c>
      <c r="D66">
        <v>5.718</v>
      </c>
      <c r="E66">
        <v>1.2629999999999999</v>
      </c>
      <c r="F66">
        <v>1.252</v>
      </c>
      <c r="G66">
        <v>1.042</v>
      </c>
      <c r="H66">
        <v>0.41699999999999998</v>
      </c>
      <c r="I66">
        <v>0.191</v>
      </c>
      <c r="J66">
        <v>0.16200000000000001</v>
      </c>
      <c r="K66">
        <v>2019</v>
      </c>
    </row>
    <row r="67" spans="2:11" x14ac:dyDescent="0.35">
      <c r="B67">
        <v>65</v>
      </c>
      <c r="C67" t="s">
        <v>77</v>
      </c>
      <c r="D67">
        <v>5.6970000000000001</v>
      </c>
      <c r="E67">
        <v>0.96</v>
      </c>
      <c r="F67">
        <v>1.274</v>
      </c>
      <c r="G67">
        <v>0.85399999999999998</v>
      </c>
      <c r="H67">
        <v>0.45500000000000002</v>
      </c>
      <c r="I67">
        <v>8.3000000000000004E-2</v>
      </c>
      <c r="J67">
        <v>2.7E-2</v>
      </c>
      <c r="K67">
        <v>2019</v>
      </c>
    </row>
    <row r="68" spans="2:11" x14ac:dyDescent="0.35">
      <c r="B68">
        <v>66</v>
      </c>
      <c r="C68" t="s">
        <v>109</v>
      </c>
      <c r="D68">
        <v>5.6929999999999996</v>
      </c>
      <c r="E68">
        <v>1.2210000000000001</v>
      </c>
      <c r="F68">
        <v>1.431</v>
      </c>
      <c r="G68">
        <v>0.999</v>
      </c>
      <c r="H68">
        <v>0.50800000000000001</v>
      </c>
      <c r="I68">
        <v>4.7E-2</v>
      </c>
      <c r="J68">
        <v>2.5000000000000001E-2</v>
      </c>
      <c r="K68">
        <v>2019</v>
      </c>
    </row>
    <row r="69" spans="2:11" x14ac:dyDescent="0.35">
      <c r="B69">
        <v>67</v>
      </c>
      <c r="C69" t="s">
        <v>102</v>
      </c>
      <c r="D69">
        <v>5.6529999999999996</v>
      </c>
      <c r="E69">
        <v>0.67700000000000005</v>
      </c>
      <c r="F69">
        <v>0.88600000000000001</v>
      </c>
      <c r="G69">
        <v>0.53500000000000003</v>
      </c>
      <c r="H69">
        <v>0.313</v>
      </c>
      <c r="I69">
        <v>0.22</v>
      </c>
      <c r="J69">
        <v>9.8000000000000004E-2</v>
      </c>
      <c r="K69">
        <v>2019</v>
      </c>
    </row>
    <row r="70" spans="2:11" x14ac:dyDescent="0.35">
      <c r="B70">
        <v>68</v>
      </c>
      <c r="C70" t="s">
        <v>83</v>
      </c>
      <c r="D70">
        <v>5.6479999999999997</v>
      </c>
      <c r="E70">
        <v>1.1830000000000001</v>
      </c>
      <c r="F70">
        <v>1.452</v>
      </c>
      <c r="G70">
        <v>0.72599999999999998</v>
      </c>
      <c r="H70">
        <v>0.33400000000000002</v>
      </c>
      <c r="I70">
        <v>8.2000000000000003E-2</v>
      </c>
      <c r="J70">
        <v>3.1E-2</v>
      </c>
      <c r="K70">
        <v>2019</v>
      </c>
    </row>
    <row r="71" spans="2:11" x14ac:dyDescent="0.35">
      <c r="B71">
        <v>69</v>
      </c>
      <c r="C71" t="s">
        <v>111</v>
      </c>
      <c r="D71">
        <v>5.6310000000000002</v>
      </c>
      <c r="E71">
        <v>0.80700000000000005</v>
      </c>
      <c r="F71">
        <v>1.2929999999999999</v>
      </c>
      <c r="G71">
        <v>0.65700000000000003</v>
      </c>
      <c r="H71">
        <v>0.55800000000000005</v>
      </c>
      <c r="I71">
        <v>0.11700000000000001</v>
      </c>
      <c r="J71">
        <v>0.107</v>
      </c>
      <c r="K71">
        <v>2019</v>
      </c>
    </row>
    <row r="72" spans="2:11" x14ac:dyDescent="0.35">
      <c r="B72">
        <v>70</v>
      </c>
      <c r="C72" t="s">
        <v>108</v>
      </c>
      <c r="D72">
        <v>5.6029999999999998</v>
      </c>
      <c r="E72">
        <v>1.004</v>
      </c>
      <c r="F72">
        <v>1.383</v>
      </c>
      <c r="G72">
        <v>0.85399999999999998</v>
      </c>
      <c r="H72">
        <v>0.28199999999999997</v>
      </c>
      <c r="I72">
        <v>0.13700000000000001</v>
      </c>
      <c r="J72">
        <v>3.9E-2</v>
      </c>
      <c r="K72">
        <v>2019</v>
      </c>
    </row>
    <row r="73" spans="2:11" x14ac:dyDescent="0.35">
      <c r="B73">
        <v>71</v>
      </c>
      <c r="C73" t="s">
        <v>71</v>
      </c>
      <c r="D73">
        <v>5.5289999999999999</v>
      </c>
      <c r="E73">
        <v>0.68500000000000005</v>
      </c>
      <c r="F73">
        <v>1.3280000000000001</v>
      </c>
      <c r="G73">
        <v>0.73899999999999999</v>
      </c>
      <c r="H73">
        <v>0.245</v>
      </c>
      <c r="I73">
        <v>0.18099999999999999</v>
      </c>
      <c r="J73">
        <v>0</v>
      </c>
      <c r="K73">
        <v>2019</v>
      </c>
    </row>
    <row r="74" spans="2:11" x14ac:dyDescent="0.35">
      <c r="B74">
        <v>72</v>
      </c>
      <c r="C74" t="s">
        <v>82</v>
      </c>
      <c r="D74">
        <v>5.5250000000000004</v>
      </c>
      <c r="E74">
        <v>1.044</v>
      </c>
      <c r="F74">
        <v>1.3029999999999999</v>
      </c>
      <c r="G74">
        <v>0.67300000000000004</v>
      </c>
      <c r="H74">
        <v>0.41599999999999998</v>
      </c>
      <c r="I74">
        <v>0.13300000000000001</v>
      </c>
      <c r="J74">
        <v>0.152</v>
      </c>
      <c r="K74">
        <v>2019</v>
      </c>
    </row>
    <row r="75" spans="2:11" x14ac:dyDescent="0.35">
      <c r="B75">
        <v>73</v>
      </c>
      <c r="C75" t="s">
        <v>104</v>
      </c>
      <c r="D75">
        <v>5.5229999999999997</v>
      </c>
      <c r="E75">
        <v>1.0509999999999999</v>
      </c>
      <c r="F75">
        <v>1.361</v>
      </c>
      <c r="G75">
        <v>0.871</v>
      </c>
      <c r="H75">
        <v>0.19700000000000001</v>
      </c>
      <c r="I75">
        <v>0.14199999999999999</v>
      </c>
      <c r="J75">
        <v>0.08</v>
      </c>
      <c r="K75">
        <v>2019</v>
      </c>
    </row>
    <row r="76" spans="2:11" x14ac:dyDescent="0.35">
      <c r="B76">
        <v>74</v>
      </c>
      <c r="C76" t="s">
        <v>127</v>
      </c>
      <c r="D76">
        <v>5.4669999999999996</v>
      </c>
      <c r="E76">
        <v>0.49299999999999999</v>
      </c>
      <c r="F76">
        <v>1.0980000000000001</v>
      </c>
      <c r="G76">
        <v>0.71799999999999997</v>
      </c>
      <c r="H76">
        <v>0.38900000000000001</v>
      </c>
      <c r="I76">
        <v>0.23</v>
      </c>
      <c r="J76">
        <v>0.14399999999999999</v>
      </c>
      <c r="K76">
        <v>2019</v>
      </c>
    </row>
    <row r="77" spans="2:11" x14ac:dyDescent="0.35">
      <c r="B77">
        <v>75</v>
      </c>
      <c r="C77" t="s">
        <v>81</v>
      </c>
      <c r="D77">
        <v>5.4320000000000004</v>
      </c>
      <c r="E77">
        <v>1.155</v>
      </c>
      <c r="F77">
        <v>1.266</v>
      </c>
      <c r="G77">
        <v>0.91400000000000003</v>
      </c>
      <c r="H77">
        <v>0.29599999999999999</v>
      </c>
      <c r="I77">
        <v>0.11899999999999999</v>
      </c>
      <c r="J77">
        <v>2.1999999999999999E-2</v>
      </c>
      <c r="K77">
        <v>2019</v>
      </c>
    </row>
    <row r="78" spans="2:11" x14ac:dyDescent="0.35">
      <c r="B78">
        <v>76</v>
      </c>
      <c r="C78" t="s">
        <v>92</v>
      </c>
      <c r="D78">
        <v>5.43</v>
      </c>
      <c r="E78">
        <v>1.4379999999999999</v>
      </c>
      <c r="F78">
        <v>1.2769999999999999</v>
      </c>
      <c r="G78">
        <v>1.1220000000000001</v>
      </c>
      <c r="H78">
        <v>0.44</v>
      </c>
      <c r="I78">
        <v>0.25800000000000001</v>
      </c>
      <c r="J78">
        <v>0.28699999999999998</v>
      </c>
      <c r="K78">
        <v>2019</v>
      </c>
    </row>
    <row r="79" spans="2:11" x14ac:dyDescent="0.35">
      <c r="B79">
        <v>77</v>
      </c>
      <c r="C79" t="s">
        <v>119</v>
      </c>
      <c r="D79">
        <v>5.4249999999999998</v>
      </c>
      <c r="E79">
        <v>1.0149999999999999</v>
      </c>
      <c r="F79">
        <v>1.401</v>
      </c>
      <c r="G79">
        <v>0.77900000000000003</v>
      </c>
      <c r="H79">
        <v>0.497</v>
      </c>
      <c r="I79">
        <v>0.113</v>
      </c>
      <c r="J79">
        <v>0.10100000000000001</v>
      </c>
      <c r="K79">
        <v>2019</v>
      </c>
    </row>
    <row r="80" spans="2:11" x14ac:dyDescent="0.35">
      <c r="B80">
        <v>78</v>
      </c>
      <c r="C80" t="s">
        <v>117</v>
      </c>
      <c r="D80">
        <v>5.3860000000000001</v>
      </c>
      <c r="E80">
        <v>0.94499999999999995</v>
      </c>
      <c r="F80">
        <v>1.212</v>
      </c>
      <c r="G80">
        <v>0.84499999999999997</v>
      </c>
      <c r="H80">
        <v>0.21199999999999999</v>
      </c>
      <c r="I80">
        <v>0.26300000000000001</v>
      </c>
      <c r="J80">
        <v>6.0000000000000001E-3</v>
      </c>
      <c r="K80">
        <v>2019</v>
      </c>
    </row>
    <row r="81" spans="2:11" x14ac:dyDescent="0.35">
      <c r="B81">
        <v>79</v>
      </c>
      <c r="C81" t="s">
        <v>96</v>
      </c>
      <c r="D81">
        <v>5.3730000000000002</v>
      </c>
      <c r="E81">
        <v>1.1830000000000001</v>
      </c>
      <c r="F81">
        <v>1.36</v>
      </c>
      <c r="G81">
        <v>0.80800000000000005</v>
      </c>
      <c r="H81">
        <v>0.19500000000000001</v>
      </c>
      <c r="I81">
        <v>8.3000000000000004E-2</v>
      </c>
      <c r="J81">
        <v>0.106</v>
      </c>
      <c r="K81">
        <v>2019</v>
      </c>
    </row>
    <row r="82" spans="2:11" x14ac:dyDescent="0.35">
      <c r="B82">
        <v>80</v>
      </c>
      <c r="C82" t="s">
        <v>80</v>
      </c>
      <c r="D82">
        <v>5.3390000000000004</v>
      </c>
      <c r="E82">
        <v>1.2210000000000001</v>
      </c>
      <c r="F82">
        <v>1.171</v>
      </c>
      <c r="G82">
        <v>0.82799999999999996</v>
      </c>
      <c r="H82">
        <v>0.50800000000000001</v>
      </c>
      <c r="I82">
        <v>0.26</v>
      </c>
      <c r="J82">
        <v>2.4E-2</v>
      </c>
      <c r="K82">
        <v>2019</v>
      </c>
    </row>
    <row r="83" spans="2:11" x14ac:dyDescent="0.35">
      <c r="B83">
        <v>81</v>
      </c>
      <c r="C83" t="s">
        <v>78</v>
      </c>
      <c r="D83">
        <v>5.3230000000000004</v>
      </c>
      <c r="E83">
        <v>1.0669999999999999</v>
      </c>
      <c r="F83">
        <v>1.4650000000000001</v>
      </c>
      <c r="G83">
        <v>0.78900000000000003</v>
      </c>
      <c r="H83">
        <v>0.23499999999999999</v>
      </c>
      <c r="I83">
        <v>9.4E-2</v>
      </c>
      <c r="J83">
        <v>0.14199999999999999</v>
      </c>
      <c r="K83">
        <v>2019</v>
      </c>
    </row>
    <row r="84" spans="2:11" x14ac:dyDescent="0.35">
      <c r="B84">
        <v>82</v>
      </c>
      <c r="C84" t="s">
        <v>123</v>
      </c>
      <c r="D84">
        <v>5.2869999999999999</v>
      </c>
      <c r="E84">
        <v>1.181</v>
      </c>
      <c r="F84">
        <v>1.1559999999999999</v>
      </c>
      <c r="G84">
        <v>0.999</v>
      </c>
      <c r="H84">
        <v>6.7000000000000004E-2</v>
      </c>
      <c r="I84">
        <v>0</v>
      </c>
      <c r="J84">
        <v>3.4000000000000002E-2</v>
      </c>
      <c r="K84">
        <v>2019</v>
      </c>
    </row>
    <row r="85" spans="2:11" x14ac:dyDescent="0.35">
      <c r="B85">
        <v>83</v>
      </c>
      <c r="C85" t="s">
        <v>121</v>
      </c>
      <c r="D85">
        <v>5.2850000000000001</v>
      </c>
      <c r="E85">
        <v>0.94799999999999995</v>
      </c>
      <c r="F85">
        <v>1.5309999999999999</v>
      </c>
      <c r="G85">
        <v>0.66700000000000004</v>
      </c>
      <c r="H85">
        <v>0.317</v>
      </c>
      <c r="I85">
        <v>0.23499999999999999</v>
      </c>
      <c r="J85">
        <v>3.7999999999999999E-2</v>
      </c>
      <c r="K85">
        <v>2019</v>
      </c>
    </row>
    <row r="86" spans="2:11" x14ac:dyDescent="0.35">
      <c r="B86">
        <v>84</v>
      </c>
      <c r="C86" t="s">
        <v>234</v>
      </c>
      <c r="D86">
        <v>5.274</v>
      </c>
      <c r="E86">
        <v>0.98299999999999998</v>
      </c>
      <c r="F86">
        <v>1.294</v>
      </c>
      <c r="G86">
        <v>0.83799999999999997</v>
      </c>
      <c r="H86">
        <v>0.34499999999999997</v>
      </c>
      <c r="I86">
        <v>0.185</v>
      </c>
      <c r="J86">
        <v>3.4000000000000002E-2</v>
      </c>
      <c r="K86">
        <v>2019</v>
      </c>
    </row>
    <row r="87" spans="2:11" x14ac:dyDescent="0.35">
      <c r="B87">
        <v>85</v>
      </c>
      <c r="C87" t="s">
        <v>98</v>
      </c>
      <c r="D87">
        <v>5.2649999999999997</v>
      </c>
      <c r="E87">
        <v>0.69599999999999995</v>
      </c>
      <c r="F87">
        <v>1.111</v>
      </c>
      <c r="G87">
        <v>0.245</v>
      </c>
      <c r="H87">
        <v>0.42599999999999999</v>
      </c>
      <c r="I87">
        <v>0.215</v>
      </c>
      <c r="J87">
        <v>4.1000000000000002E-2</v>
      </c>
      <c r="K87">
        <v>2019</v>
      </c>
    </row>
    <row r="88" spans="2:11" x14ac:dyDescent="0.35">
      <c r="B88">
        <v>86</v>
      </c>
      <c r="C88" t="s">
        <v>97</v>
      </c>
      <c r="D88">
        <v>5.2610000000000001</v>
      </c>
      <c r="E88">
        <v>0.55100000000000005</v>
      </c>
      <c r="F88">
        <v>1.4379999999999999</v>
      </c>
      <c r="G88">
        <v>0.72299999999999998</v>
      </c>
      <c r="H88">
        <v>0.50800000000000001</v>
      </c>
      <c r="I88">
        <v>0.3</v>
      </c>
      <c r="J88">
        <v>2.3E-2</v>
      </c>
      <c r="K88">
        <v>2019</v>
      </c>
    </row>
    <row r="89" spans="2:11" x14ac:dyDescent="0.35">
      <c r="B89">
        <v>87</v>
      </c>
      <c r="C89" t="s">
        <v>89</v>
      </c>
      <c r="D89">
        <v>5.2469999999999999</v>
      </c>
      <c r="E89">
        <v>1.052</v>
      </c>
      <c r="F89">
        <v>1.538</v>
      </c>
      <c r="G89">
        <v>0.65700000000000003</v>
      </c>
      <c r="H89">
        <v>0.39400000000000002</v>
      </c>
      <c r="I89">
        <v>0.24399999999999999</v>
      </c>
      <c r="J89">
        <v>2.8000000000000001E-2</v>
      </c>
      <c r="K89">
        <v>2019</v>
      </c>
    </row>
    <row r="90" spans="2:11" x14ac:dyDescent="0.35">
      <c r="B90">
        <v>88</v>
      </c>
      <c r="C90" t="s">
        <v>87</v>
      </c>
      <c r="D90">
        <v>5.2110000000000003</v>
      </c>
      <c r="E90">
        <v>1.002</v>
      </c>
      <c r="F90">
        <v>1.1599999999999999</v>
      </c>
      <c r="G90">
        <v>0.78500000000000003</v>
      </c>
      <c r="H90">
        <v>8.5999999999999993E-2</v>
      </c>
      <c r="I90">
        <v>7.2999999999999995E-2</v>
      </c>
      <c r="J90">
        <v>0.114</v>
      </c>
      <c r="K90">
        <v>2019</v>
      </c>
    </row>
    <row r="91" spans="2:11" x14ac:dyDescent="0.35">
      <c r="B91">
        <v>89</v>
      </c>
      <c r="C91" t="s">
        <v>113</v>
      </c>
      <c r="D91">
        <v>5.2080000000000002</v>
      </c>
      <c r="E91">
        <v>0.80100000000000005</v>
      </c>
      <c r="F91">
        <v>0.78200000000000003</v>
      </c>
      <c r="G91">
        <v>0.78200000000000003</v>
      </c>
      <c r="H91">
        <v>0.41799999999999998</v>
      </c>
      <c r="I91">
        <v>3.5999999999999997E-2</v>
      </c>
      <c r="J91">
        <v>7.5999999999999998E-2</v>
      </c>
      <c r="K91">
        <v>2019</v>
      </c>
    </row>
    <row r="92" spans="2:11" x14ac:dyDescent="0.35">
      <c r="B92">
        <v>90</v>
      </c>
      <c r="C92" t="s">
        <v>101</v>
      </c>
      <c r="D92">
        <v>5.2080000000000002</v>
      </c>
      <c r="E92">
        <v>1.0429999999999999</v>
      </c>
      <c r="F92">
        <v>1.147</v>
      </c>
      <c r="G92">
        <v>0.76900000000000002</v>
      </c>
      <c r="H92">
        <v>0.35099999999999998</v>
      </c>
      <c r="I92">
        <v>3.5000000000000003E-2</v>
      </c>
      <c r="J92">
        <v>0.182</v>
      </c>
      <c r="K92">
        <v>2019</v>
      </c>
    </row>
    <row r="93" spans="2:11" x14ac:dyDescent="0.35">
      <c r="B93">
        <v>91</v>
      </c>
      <c r="C93" t="s">
        <v>124</v>
      </c>
      <c r="D93">
        <v>5.1970000000000001</v>
      </c>
      <c r="E93">
        <v>0.98699999999999999</v>
      </c>
      <c r="F93">
        <v>1.224</v>
      </c>
      <c r="G93">
        <v>0.81499999999999995</v>
      </c>
      <c r="H93">
        <v>0.216</v>
      </c>
      <c r="I93">
        <v>0.16600000000000001</v>
      </c>
      <c r="J93">
        <v>2.7E-2</v>
      </c>
      <c r="K93">
        <v>2019</v>
      </c>
    </row>
    <row r="94" spans="2:11" x14ac:dyDescent="0.35">
      <c r="B94">
        <v>92</v>
      </c>
      <c r="C94" t="s">
        <v>94</v>
      </c>
      <c r="D94">
        <v>5.1920000000000002</v>
      </c>
      <c r="E94">
        <v>0.93100000000000005</v>
      </c>
      <c r="F94">
        <v>1.2030000000000001</v>
      </c>
      <c r="G94">
        <v>0.66</v>
      </c>
      <c r="H94">
        <v>0.49099999999999999</v>
      </c>
      <c r="I94">
        <v>0.498</v>
      </c>
      <c r="J94">
        <v>2.8000000000000001E-2</v>
      </c>
      <c r="K94">
        <v>2019</v>
      </c>
    </row>
    <row r="95" spans="2:11" x14ac:dyDescent="0.35">
      <c r="B95">
        <v>93</v>
      </c>
      <c r="C95" t="s">
        <v>105</v>
      </c>
      <c r="D95">
        <v>5.1909999999999998</v>
      </c>
      <c r="E95">
        <v>1.0289999999999999</v>
      </c>
      <c r="F95">
        <v>1.125</v>
      </c>
      <c r="G95">
        <v>0.89300000000000002</v>
      </c>
      <c r="H95">
        <v>0.52100000000000002</v>
      </c>
      <c r="I95">
        <v>5.8000000000000003E-2</v>
      </c>
      <c r="J95">
        <v>0.1</v>
      </c>
      <c r="K95">
        <v>2019</v>
      </c>
    </row>
    <row r="96" spans="2:11" x14ac:dyDescent="0.35">
      <c r="B96">
        <v>94</v>
      </c>
      <c r="C96" t="s">
        <v>95</v>
      </c>
      <c r="D96">
        <v>5.1749999999999998</v>
      </c>
      <c r="E96">
        <v>0.74099999999999999</v>
      </c>
      <c r="F96">
        <v>1.3460000000000001</v>
      </c>
      <c r="G96">
        <v>0.85099999999999998</v>
      </c>
      <c r="H96">
        <v>0.54300000000000004</v>
      </c>
      <c r="I96">
        <v>0.14699999999999999</v>
      </c>
      <c r="J96">
        <v>7.2999999999999995E-2</v>
      </c>
      <c r="K96">
        <v>2019</v>
      </c>
    </row>
    <row r="97" spans="2:11" x14ac:dyDescent="0.35">
      <c r="B97">
        <v>95</v>
      </c>
      <c r="C97" t="s">
        <v>99</v>
      </c>
      <c r="D97">
        <v>5.0819999999999999</v>
      </c>
      <c r="E97">
        <v>0.81299999999999994</v>
      </c>
      <c r="F97">
        <v>1.321</v>
      </c>
      <c r="G97">
        <v>0.60399999999999998</v>
      </c>
      <c r="H97">
        <v>0.45700000000000002</v>
      </c>
      <c r="I97">
        <v>0.37</v>
      </c>
      <c r="J97">
        <v>0.16700000000000001</v>
      </c>
      <c r="K97">
        <v>2019</v>
      </c>
    </row>
    <row r="98" spans="2:11" x14ac:dyDescent="0.35">
      <c r="B98">
        <v>96</v>
      </c>
      <c r="C98" t="s">
        <v>154</v>
      </c>
      <c r="D98">
        <v>5.0439999999999996</v>
      </c>
      <c r="E98">
        <v>0.54900000000000004</v>
      </c>
      <c r="F98">
        <v>0.91</v>
      </c>
      <c r="G98">
        <v>0.33100000000000002</v>
      </c>
      <c r="H98">
        <v>0.38100000000000001</v>
      </c>
      <c r="I98">
        <v>0.187</v>
      </c>
      <c r="J98">
        <v>3.6999999999999998E-2</v>
      </c>
      <c r="K98">
        <v>2019</v>
      </c>
    </row>
    <row r="99" spans="2:11" x14ac:dyDescent="0.35">
      <c r="B99">
        <v>97</v>
      </c>
      <c r="C99" t="s">
        <v>155</v>
      </c>
      <c r="D99">
        <v>5.0110000000000001</v>
      </c>
      <c r="E99">
        <v>1.0920000000000001</v>
      </c>
      <c r="F99">
        <v>1.5129999999999999</v>
      </c>
      <c r="G99">
        <v>0.81499999999999995</v>
      </c>
      <c r="H99">
        <v>0.311</v>
      </c>
      <c r="I99">
        <v>8.1000000000000003E-2</v>
      </c>
      <c r="J99">
        <v>4.0000000000000001E-3</v>
      </c>
      <c r="K99">
        <v>2019</v>
      </c>
    </row>
    <row r="100" spans="2:11" x14ac:dyDescent="0.35">
      <c r="B100">
        <v>98</v>
      </c>
      <c r="C100" t="s">
        <v>135</v>
      </c>
      <c r="D100">
        <v>4.9960000000000004</v>
      </c>
      <c r="E100">
        <v>0.61099999999999999</v>
      </c>
      <c r="F100">
        <v>0.86799999999999999</v>
      </c>
      <c r="G100">
        <v>0.48599999999999999</v>
      </c>
      <c r="H100">
        <v>0.38100000000000001</v>
      </c>
      <c r="I100">
        <v>0.245</v>
      </c>
      <c r="J100">
        <v>0.04</v>
      </c>
      <c r="K100">
        <v>2019</v>
      </c>
    </row>
    <row r="101" spans="2:11" x14ac:dyDescent="0.35">
      <c r="B101">
        <v>99</v>
      </c>
      <c r="C101" t="s">
        <v>172</v>
      </c>
      <c r="D101">
        <v>4.944</v>
      </c>
      <c r="E101">
        <v>0.56899999999999995</v>
      </c>
      <c r="F101">
        <v>0.80800000000000005</v>
      </c>
      <c r="G101">
        <v>0.23200000000000001</v>
      </c>
      <c r="H101">
        <v>0.35199999999999998</v>
      </c>
      <c r="I101">
        <v>0.154</v>
      </c>
      <c r="J101">
        <v>0.09</v>
      </c>
      <c r="K101">
        <v>2019</v>
      </c>
    </row>
    <row r="102" spans="2:11" x14ac:dyDescent="0.35">
      <c r="B102">
        <v>100</v>
      </c>
      <c r="C102" t="s">
        <v>142</v>
      </c>
      <c r="D102">
        <v>4.9130000000000003</v>
      </c>
      <c r="E102">
        <v>0.44600000000000001</v>
      </c>
      <c r="F102">
        <v>1.226</v>
      </c>
      <c r="G102">
        <v>0.67700000000000005</v>
      </c>
      <c r="H102">
        <v>0.439</v>
      </c>
      <c r="I102">
        <v>0.28499999999999998</v>
      </c>
      <c r="J102">
        <v>8.8999999999999996E-2</v>
      </c>
      <c r="K102">
        <v>2019</v>
      </c>
    </row>
    <row r="103" spans="2:11" x14ac:dyDescent="0.35">
      <c r="B103">
        <v>101</v>
      </c>
      <c r="C103" t="s">
        <v>103</v>
      </c>
      <c r="D103">
        <v>4.9059999999999997</v>
      </c>
      <c r="E103">
        <v>0.83699999999999997</v>
      </c>
      <c r="F103">
        <v>1.2250000000000001</v>
      </c>
      <c r="G103">
        <v>0.81499999999999995</v>
      </c>
      <c r="H103">
        <v>0.38300000000000001</v>
      </c>
      <c r="I103">
        <v>0.11</v>
      </c>
      <c r="J103">
        <v>0.13</v>
      </c>
      <c r="K103">
        <v>2019</v>
      </c>
    </row>
    <row r="104" spans="2:11" x14ac:dyDescent="0.35">
      <c r="B104">
        <v>102</v>
      </c>
      <c r="C104" t="s">
        <v>176</v>
      </c>
      <c r="D104">
        <v>4.883</v>
      </c>
      <c r="E104">
        <v>0.39300000000000002</v>
      </c>
      <c r="F104">
        <v>0.437</v>
      </c>
      <c r="G104">
        <v>0.39700000000000002</v>
      </c>
      <c r="H104">
        <v>0.34899999999999998</v>
      </c>
      <c r="I104">
        <v>0.17499999999999999</v>
      </c>
      <c r="J104">
        <v>8.2000000000000003E-2</v>
      </c>
      <c r="K104">
        <v>2019</v>
      </c>
    </row>
    <row r="105" spans="2:11" x14ac:dyDescent="0.35">
      <c r="B105">
        <v>103</v>
      </c>
      <c r="C105" t="s">
        <v>160</v>
      </c>
      <c r="D105">
        <v>4.8120000000000003</v>
      </c>
      <c r="E105">
        <v>0.67300000000000004</v>
      </c>
      <c r="F105">
        <v>0.79900000000000004</v>
      </c>
      <c r="G105">
        <v>0.50800000000000001</v>
      </c>
      <c r="H105">
        <v>0.372</v>
      </c>
      <c r="I105">
        <v>0.105</v>
      </c>
      <c r="J105">
        <v>9.2999999999999999E-2</v>
      </c>
      <c r="K105">
        <v>2019</v>
      </c>
    </row>
    <row r="106" spans="2:11" x14ac:dyDescent="0.35">
      <c r="B106">
        <v>104</v>
      </c>
      <c r="C106" t="s">
        <v>164</v>
      </c>
      <c r="D106">
        <v>4.7990000000000004</v>
      </c>
      <c r="E106">
        <v>1.0569999999999999</v>
      </c>
      <c r="F106">
        <v>1.1830000000000001</v>
      </c>
      <c r="G106">
        <v>0.57099999999999995</v>
      </c>
      <c r="H106">
        <v>0.29499999999999998</v>
      </c>
      <c r="I106">
        <v>4.2999999999999997E-2</v>
      </c>
      <c r="J106">
        <v>5.5E-2</v>
      </c>
      <c r="K106">
        <v>2019</v>
      </c>
    </row>
    <row r="107" spans="2:11" x14ac:dyDescent="0.35">
      <c r="B107">
        <v>105</v>
      </c>
      <c r="C107" t="s">
        <v>120</v>
      </c>
      <c r="D107">
        <v>4.7960000000000003</v>
      </c>
      <c r="E107">
        <v>0.76400000000000001</v>
      </c>
      <c r="F107">
        <v>1.03</v>
      </c>
      <c r="G107">
        <v>0.55100000000000005</v>
      </c>
      <c r="H107">
        <v>0.54700000000000004</v>
      </c>
      <c r="I107">
        <v>0.26600000000000001</v>
      </c>
      <c r="J107">
        <v>0.16400000000000001</v>
      </c>
      <c r="K107">
        <v>2019</v>
      </c>
    </row>
    <row r="108" spans="2:11" x14ac:dyDescent="0.35">
      <c r="B108">
        <v>106</v>
      </c>
      <c r="C108" t="s">
        <v>134</v>
      </c>
      <c r="D108">
        <v>4.7220000000000004</v>
      </c>
      <c r="E108">
        <v>0.96</v>
      </c>
      <c r="F108">
        <v>1.351</v>
      </c>
      <c r="G108">
        <v>0.46899999999999997</v>
      </c>
      <c r="H108">
        <v>0.38900000000000001</v>
      </c>
      <c r="I108">
        <v>0.13</v>
      </c>
      <c r="J108">
        <v>5.5E-2</v>
      </c>
      <c r="K108">
        <v>2019</v>
      </c>
    </row>
    <row r="109" spans="2:11" x14ac:dyDescent="0.35">
      <c r="B109">
        <v>107</v>
      </c>
      <c r="C109" t="s">
        <v>116</v>
      </c>
      <c r="D109">
        <v>4.7190000000000003</v>
      </c>
      <c r="E109">
        <v>0.94699999999999995</v>
      </c>
      <c r="F109">
        <v>0.84799999999999998</v>
      </c>
      <c r="G109">
        <v>0.874</v>
      </c>
      <c r="H109">
        <v>0.38300000000000001</v>
      </c>
      <c r="I109">
        <v>0.17799999999999999</v>
      </c>
      <c r="J109">
        <v>2.7E-2</v>
      </c>
      <c r="K109">
        <v>2019</v>
      </c>
    </row>
    <row r="110" spans="2:11" x14ac:dyDescent="0.35">
      <c r="B110">
        <v>108</v>
      </c>
      <c r="C110" t="s">
        <v>39</v>
      </c>
      <c r="D110">
        <v>4.7069999999999999</v>
      </c>
      <c r="E110">
        <v>0.96</v>
      </c>
      <c r="F110">
        <v>1.427</v>
      </c>
      <c r="G110">
        <v>0.80500000000000005</v>
      </c>
      <c r="H110">
        <v>0.154</v>
      </c>
      <c r="I110">
        <v>6.4000000000000001E-2</v>
      </c>
      <c r="J110">
        <v>4.7E-2</v>
      </c>
      <c r="K110">
        <v>2019</v>
      </c>
    </row>
    <row r="111" spans="2:11" x14ac:dyDescent="0.35">
      <c r="B111">
        <v>109</v>
      </c>
      <c r="C111" t="s">
        <v>166</v>
      </c>
      <c r="D111">
        <v>4.7</v>
      </c>
      <c r="E111">
        <v>0.57399999999999995</v>
      </c>
      <c r="F111">
        <v>1.1220000000000001</v>
      </c>
      <c r="G111">
        <v>0.63700000000000001</v>
      </c>
      <c r="H111">
        <v>0.60899999999999999</v>
      </c>
      <c r="I111">
        <v>0.23200000000000001</v>
      </c>
      <c r="J111">
        <v>6.2E-2</v>
      </c>
      <c r="K111">
        <v>2019</v>
      </c>
    </row>
    <row r="112" spans="2:11" x14ac:dyDescent="0.35">
      <c r="B112">
        <v>110</v>
      </c>
      <c r="C112" t="s">
        <v>129</v>
      </c>
      <c r="D112">
        <v>4.6959999999999997</v>
      </c>
      <c r="E112">
        <v>0.65700000000000003</v>
      </c>
      <c r="F112">
        <v>1.2470000000000001</v>
      </c>
      <c r="G112">
        <v>0.67200000000000004</v>
      </c>
      <c r="H112">
        <v>0.22500000000000001</v>
      </c>
      <c r="I112">
        <v>0.10299999999999999</v>
      </c>
      <c r="J112">
        <v>6.6000000000000003E-2</v>
      </c>
      <c r="K112">
        <v>2019</v>
      </c>
    </row>
    <row r="113" spans="2:11" x14ac:dyDescent="0.35">
      <c r="B113">
        <v>111</v>
      </c>
      <c r="C113" t="s">
        <v>163</v>
      </c>
      <c r="D113">
        <v>4.681</v>
      </c>
      <c r="E113">
        <v>0.45</v>
      </c>
      <c r="F113">
        <v>1.1339999999999999</v>
      </c>
      <c r="G113">
        <v>0.57099999999999995</v>
      </c>
      <c r="H113">
        <v>0.29199999999999998</v>
      </c>
      <c r="I113">
        <v>0.153</v>
      </c>
      <c r="J113">
        <v>7.1999999999999995E-2</v>
      </c>
      <c r="K113">
        <v>2019</v>
      </c>
    </row>
    <row r="114" spans="2:11" x14ac:dyDescent="0.35">
      <c r="B114">
        <v>112</v>
      </c>
      <c r="C114" t="s">
        <v>209</v>
      </c>
      <c r="D114">
        <v>4.6680000000000001</v>
      </c>
      <c r="E114">
        <v>0</v>
      </c>
      <c r="F114">
        <v>0.69799999999999995</v>
      </c>
      <c r="G114">
        <v>0.26800000000000002</v>
      </c>
      <c r="H114">
        <v>0.55900000000000005</v>
      </c>
      <c r="I114">
        <v>0.24299999999999999</v>
      </c>
      <c r="J114">
        <v>0.27</v>
      </c>
      <c r="K114">
        <v>2019</v>
      </c>
    </row>
    <row r="115" spans="2:11" x14ac:dyDescent="0.35">
      <c r="B115">
        <v>113</v>
      </c>
      <c r="C115" t="s">
        <v>211</v>
      </c>
      <c r="D115">
        <v>4.6390000000000002</v>
      </c>
      <c r="E115">
        <v>0.879</v>
      </c>
      <c r="F115">
        <v>1.3129999999999999</v>
      </c>
      <c r="G115">
        <v>0.47699999999999998</v>
      </c>
      <c r="H115">
        <v>0.40100000000000002</v>
      </c>
      <c r="I115">
        <v>7.0000000000000007E-2</v>
      </c>
      <c r="J115">
        <v>5.6000000000000001E-2</v>
      </c>
      <c r="K115">
        <v>2019</v>
      </c>
    </row>
    <row r="116" spans="2:11" x14ac:dyDescent="0.35">
      <c r="B116">
        <v>114</v>
      </c>
      <c r="C116" t="s">
        <v>165</v>
      </c>
      <c r="D116">
        <v>4.6280000000000001</v>
      </c>
      <c r="E116">
        <v>0.13800000000000001</v>
      </c>
      <c r="F116">
        <v>0.77400000000000002</v>
      </c>
      <c r="G116">
        <v>0.36599999999999999</v>
      </c>
      <c r="H116">
        <v>0.318</v>
      </c>
      <c r="I116">
        <v>0.188</v>
      </c>
      <c r="J116">
        <v>0.10199999999999999</v>
      </c>
      <c r="K116">
        <v>2019</v>
      </c>
    </row>
    <row r="117" spans="2:11" x14ac:dyDescent="0.35">
      <c r="B117">
        <v>115</v>
      </c>
      <c r="C117" t="s">
        <v>173</v>
      </c>
      <c r="D117">
        <v>4.5869999999999997</v>
      </c>
      <c r="E117">
        <v>0.33100000000000002</v>
      </c>
      <c r="F117">
        <v>1.056</v>
      </c>
      <c r="G117">
        <v>0.38</v>
      </c>
      <c r="H117">
        <v>0.255</v>
      </c>
      <c r="I117">
        <v>0.17699999999999999</v>
      </c>
      <c r="J117">
        <v>0.113</v>
      </c>
      <c r="K117">
        <v>2019</v>
      </c>
    </row>
    <row r="118" spans="2:11" x14ac:dyDescent="0.35">
      <c r="B118">
        <v>116</v>
      </c>
      <c r="C118" t="s">
        <v>148</v>
      </c>
      <c r="D118">
        <v>4.5590000000000002</v>
      </c>
      <c r="E118">
        <v>0.85</v>
      </c>
      <c r="F118">
        <v>1.0549999999999999</v>
      </c>
      <c r="G118">
        <v>0.81499999999999995</v>
      </c>
      <c r="H118">
        <v>0.28299999999999997</v>
      </c>
      <c r="I118">
        <v>9.5000000000000001E-2</v>
      </c>
      <c r="J118">
        <v>6.4000000000000001E-2</v>
      </c>
      <c r="K118">
        <v>2019</v>
      </c>
    </row>
    <row r="119" spans="2:11" x14ac:dyDescent="0.35">
      <c r="B119">
        <v>117</v>
      </c>
      <c r="C119" t="s">
        <v>131</v>
      </c>
      <c r="D119">
        <v>4.548</v>
      </c>
      <c r="E119">
        <v>1.1000000000000001</v>
      </c>
      <c r="F119">
        <v>0.84199999999999997</v>
      </c>
      <c r="G119">
        <v>0.78500000000000003</v>
      </c>
      <c r="H119">
        <v>0.30499999999999999</v>
      </c>
      <c r="I119">
        <v>0.27</v>
      </c>
      <c r="J119">
        <v>0.125</v>
      </c>
      <c r="K119">
        <v>2019</v>
      </c>
    </row>
    <row r="120" spans="2:11" x14ac:dyDescent="0.35">
      <c r="B120">
        <v>118</v>
      </c>
      <c r="C120" t="s">
        <v>171</v>
      </c>
      <c r="D120">
        <v>4.5339999999999998</v>
      </c>
      <c r="E120">
        <v>0.38</v>
      </c>
      <c r="F120">
        <v>0.82899999999999996</v>
      </c>
      <c r="G120">
        <v>0.375</v>
      </c>
      <c r="H120">
        <v>0.33200000000000002</v>
      </c>
      <c r="I120">
        <v>0.20699999999999999</v>
      </c>
      <c r="J120">
        <v>8.5999999999999993E-2</v>
      </c>
      <c r="K120">
        <v>2019</v>
      </c>
    </row>
    <row r="121" spans="2:11" x14ac:dyDescent="0.35">
      <c r="B121">
        <v>119</v>
      </c>
      <c r="C121" t="s">
        <v>151</v>
      </c>
      <c r="D121">
        <v>4.5190000000000001</v>
      </c>
      <c r="E121">
        <v>0.88600000000000001</v>
      </c>
      <c r="F121">
        <v>0.66600000000000004</v>
      </c>
      <c r="G121">
        <v>0.752</v>
      </c>
      <c r="H121">
        <v>0.34599999999999997</v>
      </c>
      <c r="I121">
        <v>4.2999999999999997E-2</v>
      </c>
      <c r="J121">
        <v>0.16400000000000001</v>
      </c>
      <c r="K121">
        <v>2019</v>
      </c>
    </row>
    <row r="122" spans="2:11" x14ac:dyDescent="0.35">
      <c r="B122">
        <v>120</v>
      </c>
      <c r="C122" t="s">
        <v>235</v>
      </c>
      <c r="D122">
        <v>4.516</v>
      </c>
      <c r="E122">
        <v>0.308</v>
      </c>
      <c r="F122">
        <v>0.93899999999999995</v>
      </c>
      <c r="G122">
        <v>0.42799999999999999</v>
      </c>
      <c r="H122">
        <v>0.38200000000000001</v>
      </c>
      <c r="I122">
        <v>0.26900000000000002</v>
      </c>
      <c r="J122">
        <v>0.16700000000000001</v>
      </c>
      <c r="K122">
        <v>2019</v>
      </c>
    </row>
    <row r="123" spans="2:11" x14ac:dyDescent="0.35">
      <c r="B123">
        <v>121</v>
      </c>
      <c r="C123" t="s">
        <v>146</v>
      </c>
      <c r="D123">
        <v>4.5090000000000003</v>
      </c>
      <c r="E123">
        <v>0.51200000000000001</v>
      </c>
      <c r="F123">
        <v>0.98299999999999998</v>
      </c>
      <c r="G123">
        <v>0.58099999999999996</v>
      </c>
      <c r="H123">
        <v>0.43099999999999999</v>
      </c>
      <c r="I123">
        <v>0.372</v>
      </c>
      <c r="J123">
        <v>5.2999999999999999E-2</v>
      </c>
      <c r="K123">
        <v>2019</v>
      </c>
    </row>
    <row r="124" spans="2:11" x14ac:dyDescent="0.35">
      <c r="B124">
        <v>122</v>
      </c>
      <c r="C124" t="s">
        <v>145</v>
      </c>
      <c r="D124">
        <v>4.49</v>
      </c>
      <c r="E124">
        <v>0.56999999999999995</v>
      </c>
      <c r="F124">
        <v>1.167</v>
      </c>
      <c r="G124">
        <v>0.48899999999999999</v>
      </c>
      <c r="H124">
        <v>6.6000000000000003E-2</v>
      </c>
      <c r="I124">
        <v>0.106</v>
      </c>
      <c r="J124">
        <v>8.7999999999999995E-2</v>
      </c>
      <c r="K124">
        <v>2019</v>
      </c>
    </row>
    <row r="125" spans="2:11" x14ac:dyDescent="0.35">
      <c r="B125">
        <v>123</v>
      </c>
      <c r="C125" t="s">
        <v>115</v>
      </c>
      <c r="D125">
        <v>4.4660000000000002</v>
      </c>
      <c r="E125">
        <v>0.20399999999999999</v>
      </c>
      <c r="F125">
        <v>0.98599999999999999</v>
      </c>
      <c r="G125">
        <v>0.39</v>
      </c>
      <c r="H125">
        <v>0.49399999999999999</v>
      </c>
      <c r="I125">
        <v>0.19700000000000001</v>
      </c>
      <c r="J125">
        <v>0.13800000000000001</v>
      </c>
      <c r="K125">
        <v>2019</v>
      </c>
    </row>
    <row r="126" spans="2:11" x14ac:dyDescent="0.35">
      <c r="B126">
        <v>124</v>
      </c>
      <c r="C126" t="s">
        <v>128</v>
      </c>
      <c r="D126">
        <v>4.4610000000000003</v>
      </c>
      <c r="E126">
        <v>0.92100000000000004</v>
      </c>
      <c r="F126">
        <v>1</v>
      </c>
      <c r="G126">
        <v>0.81499999999999995</v>
      </c>
      <c r="H126">
        <v>0.16700000000000001</v>
      </c>
      <c r="I126">
        <v>5.8999999999999997E-2</v>
      </c>
      <c r="J126">
        <v>5.5E-2</v>
      </c>
      <c r="K126">
        <v>2019</v>
      </c>
    </row>
    <row r="127" spans="2:11" x14ac:dyDescent="0.35">
      <c r="B127">
        <v>125</v>
      </c>
      <c r="C127" t="s">
        <v>130</v>
      </c>
      <c r="D127">
        <v>4.4560000000000004</v>
      </c>
      <c r="E127">
        <v>0.56200000000000006</v>
      </c>
      <c r="F127">
        <v>0.92800000000000005</v>
      </c>
      <c r="G127">
        <v>0.72299999999999998</v>
      </c>
      <c r="H127">
        <v>0.52700000000000002</v>
      </c>
      <c r="I127">
        <v>0.16600000000000001</v>
      </c>
      <c r="J127">
        <v>0.14299999999999999</v>
      </c>
      <c r="K127">
        <v>2019</v>
      </c>
    </row>
    <row r="128" spans="2:11" x14ac:dyDescent="0.35">
      <c r="B128">
        <v>126</v>
      </c>
      <c r="C128" t="s">
        <v>133</v>
      </c>
      <c r="D128">
        <v>4.4370000000000003</v>
      </c>
      <c r="E128">
        <v>1.0429999999999999</v>
      </c>
      <c r="F128">
        <v>0.98</v>
      </c>
      <c r="G128">
        <v>0.57399999999999995</v>
      </c>
      <c r="H128">
        <v>0.24099999999999999</v>
      </c>
      <c r="I128">
        <v>0.14799999999999999</v>
      </c>
      <c r="J128">
        <v>8.8999999999999996E-2</v>
      </c>
      <c r="K128">
        <v>2019</v>
      </c>
    </row>
    <row r="129" spans="2:11" x14ac:dyDescent="0.35">
      <c r="B129">
        <v>127</v>
      </c>
      <c r="C129" t="s">
        <v>141</v>
      </c>
      <c r="D129">
        <v>4.4180000000000001</v>
      </c>
      <c r="E129">
        <v>9.4E-2</v>
      </c>
      <c r="F129">
        <v>1.125</v>
      </c>
      <c r="G129">
        <v>0.35699999999999998</v>
      </c>
      <c r="H129">
        <v>0.26900000000000002</v>
      </c>
      <c r="I129">
        <v>0.21199999999999999</v>
      </c>
      <c r="J129">
        <v>5.2999999999999999E-2</v>
      </c>
      <c r="K129">
        <v>2019</v>
      </c>
    </row>
    <row r="130" spans="2:11" x14ac:dyDescent="0.35">
      <c r="B130">
        <v>128</v>
      </c>
      <c r="C130" t="s">
        <v>159</v>
      </c>
      <c r="D130">
        <v>4.3899999999999997</v>
      </c>
      <c r="E130">
        <v>0.38500000000000001</v>
      </c>
      <c r="F130">
        <v>1.105</v>
      </c>
      <c r="G130">
        <v>0.308</v>
      </c>
      <c r="H130">
        <v>0.32700000000000001</v>
      </c>
      <c r="I130">
        <v>0.153</v>
      </c>
      <c r="J130">
        <v>5.1999999999999998E-2</v>
      </c>
      <c r="K130">
        <v>2019</v>
      </c>
    </row>
    <row r="131" spans="2:11" x14ac:dyDescent="0.35">
      <c r="B131">
        <v>129</v>
      </c>
      <c r="C131" t="s">
        <v>144</v>
      </c>
      <c r="D131">
        <v>4.3739999999999997</v>
      </c>
      <c r="E131">
        <v>0.26800000000000002</v>
      </c>
      <c r="F131">
        <v>0.84099999999999997</v>
      </c>
      <c r="G131">
        <v>0.24199999999999999</v>
      </c>
      <c r="H131">
        <v>0.309</v>
      </c>
      <c r="I131">
        <v>0.252</v>
      </c>
      <c r="J131">
        <v>4.4999999999999998E-2</v>
      </c>
      <c r="K131">
        <v>2019</v>
      </c>
    </row>
    <row r="132" spans="2:11" x14ac:dyDescent="0.35">
      <c r="B132">
        <v>130</v>
      </c>
      <c r="C132" t="s">
        <v>153</v>
      </c>
      <c r="D132">
        <v>4.3659999999999997</v>
      </c>
      <c r="E132">
        <v>0.94899999999999995</v>
      </c>
      <c r="F132">
        <v>1.2649999999999999</v>
      </c>
      <c r="G132">
        <v>0.83099999999999996</v>
      </c>
      <c r="H132">
        <v>0.47</v>
      </c>
      <c r="I132">
        <v>0.24399999999999999</v>
      </c>
      <c r="J132">
        <v>4.7E-2</v>
      </c>
      <c r="K132">
        <v>2019</v>
      </c>
    </row>
    <row r="133" spans="2:11" x14ac:dyDescent="0.35">
      <c r="B133">
        <v>131</v>
      </c>
      <c r="C133" t="s">
        <v>150</v>
      </c>
      <c r="D133">
        <v>4.3600000000000003</v>
      </c>
      <c r="E133">
        <v>0.71</v>
      </c>
      <c r="F133">
        <v>1.181</v>
      </c>
      <c r="G133">
        <v>0.55500000000000005</v>
      </c>
      <c r="H133">
        <v>0.52500000000000002</v>
      </c>
      <c r="I133">
        <v>0.56599999999999995</v>
      </c>
      <c r="J133">
        <v>0.17199999999999999</v>
      </c>
      <c r="K133">
        <v>2019</v>
      </c>
    </row>
    <row r="134" spans="2:11" x14ac:dyDescent="0.35">
      <c r="B134">
        <v>132</v>
      </c>
      <c r="C134" t="s">
        <v>170</v>
      </c>
      <c r="D134">
        <v>4.3499999999999996</v>
      </c>
      <c r="E134">
        <v>0.35</v>
      </c>
      <c r="F134">
        <v>0.76600000000000001</v>
      </c>
      <c r="G134">
        <v>0.192</v>
      </c>
      <c r="H134">
        <v>0.17399999999999999</v>
      </c>
      <c r="I134">
        <v>0.19800000000000001</v>
      </c>
      <c r="J134">
        <v>7.8E-2</v>
      </c>
      <c r="K134">
        <v>2019</v>
      </c>
    </row>
    <row r="135" spans="2:11" x14ac:dyDescent="0.35">
      <c r="B135">
        <v>133</v>
      </c>
      <c r="C135" t="s">
        <v>132</v>
      </c>
      <c r="D135">
        <v>4.3319999999999999</v>
      </c>
      <c r="E135">
        <v>0.82</v>
      </c>
      <c r="F135">
        <v>1.39</v>
      </c>
      <c r="G135">
        <v>0.73899999999999999</v>
      </c>
      <c r="H135">
        <v>0.17799999999999999</v>
      </c>
      <c r="I135">
        <v>0.187</v>
      </c>
      <c r="J135">
        <v>0.01</v>
      </c>
      <c r="K135">
        <v>2019</v>
      </c>
    </row>
    <row r="136" spans="2:11" x14ac:dyDescent="0.35">
      <c r="B136">
        <v>134</v>
      </c>
      <c r="C136" t="s">
        <v>143</v>
      </c>
      <c r="D136">
        <v>4.2859999999999996</v>
      </c>
      <c r="E136">
        <v>0.33600000000000002</v>
      </c>
      <c r="F136">
        <v>1.0329999999999999</v>
      </c>
      <c r="G136">
        <v>0.53200000000000003</v>
      </c>
      <c r="H136">
        <v>0.34399999999999997</v>
      </c>
      <c r="I136">
        <v>0.20899999999999999</v>
      </c>
      <c r="J136">
        <v>0.1</v>
      </c>
      <c r="K136">
        <v>2019</v>
      </c>
    </row>
    <row r="137" spans="2:11" x14ac:dyDescent="0.35">
      <c r="B137">
        <v>135</v>
      </c>
      <c r="C137" t="s">
        <v>122</v>
      </c>
      <c r="D137">
        <v>4.2119999999999997</v>
      </c>
      <c r="E137">
        <v>0.81100000000000005</v>
      </c>
      <c r="F137">
        <v>1.149</v>
      </c>
      <c r="G137">
        <v>0</v>
      </c>
      <c r="H137">
        <v>0.313</v>
      </c>
      <c r="I137">
        <v>7.3999999999999996E-2</v>
      </c>
      <c r="J137">
        <v>0.13500000000000001</v>
      </c>
      <c r="K137">
        <v>2019</v>
      </c>
    </row>
    <row r="138" spans="2:11" x14ac:dyDescent="0.35">
      <c r="B138">
        <v>136</v>
      </c>
      <c r="C138" t="s">
        <v>162</v>
      </c>
      <c r="D138">
        <v>4.1890000000000001</v>
      </c>
      <c r="E138">
        <v>0.33200000000000002</v>
      </c>
      <c r="F138">
        <v>1.069</v>
      </c>
      <c r="G138">
        <v>0.443</v>
      </c>
      <c r="H138">
        <v>0.35599999999999998</v>
      </c>
      <c r="I138">
        <v>0.252</v>
      </c>
      <c r="J138">
        <v>0.06</v>
      </c>
      <c r="K138">
        <v>2019</v>
      </c>
    </row>
    <row r="139" spans="2:11" x14ac:dyDescent="0.35">
      <c r="B139">
        <v>137</v>
      </c>
      <c r="C139" t="s">
        <v>156</v>
      </c>
      <c r="D139">
        <v>4.1660000000000004</v>
      </c>
      <c r="E139">
        <v>0.91300000000000003</v>
      </c>
      <c r="F139">
        <v>1.0389999999999999</v>
      </c>
      <c r="G139">
        <v>0.64400000000000002</v>
      </c>
      <c r="H139">
        <v>0.24099999999999999</v>
      </c>
      <c r="I139">
        <v>7.5999999999999998E-2</v>
      </c>
      <c r="J139">
        <v>6.7000000000000004E-2</v>
      </c>
      <c r="K139">
        <v>2019</v>
      </c>
    </row>
    <row r="140" spans="2:11" x14ac:dyDescent="0.35">
      <c r="B140">
        <v>138</v>
      </c>
      <c r="C140" t="s">
        <v>106</v>
      </c>
      <c r="D140">
        <v>4.1070000000000002</v>
      </c>
      <c r="E140">
        <v>0.57799999999999996</v>
      </c>
      <c r="F140">
        <v>1.0580000000000001</v>
      </c>
      <c r="G140">
        <v>0.42599999999999999</v>
      </c>
      <c r="H140">
        <v>0.43099999999999999</v>
      </c>
      <c r="I140">
        <v>0.247</v>
      </c>
      <c r="J140">
        <v>8.6999999999999994E-2</v>
      </c>
      <c r="K140">
        <v>2019</v>
      </c>
    </row>
    <row r="141" spans="2:11" x14ac:dyDescent="0.35">
      <c r="B141">
        <v>139</v>
      </c>
      <c r="C141" t="s">
        <v>179</v>
      </c>
      <c r="D141">
        <v>4.085</v>
      </c>
      <c r="E141">
        <v>0.27500000000000002</v>
      </c>
      <c r="F141">
        <v>0.57199999999999995</v>
      </c>
      <c r="G141">
        <v>0.41</v>
      </c>
      <c r="H141">
        <v>0.29299999999999998</v>
      </c>
      <c r="I141">
        <v>0.17699999999999999</v>
      </c>
      <c r="J141">
        <v>8.5000000000000006E-2</v>
      </c>
      <c r="K141">
        <v>2019</v>
      </c>
    </row>
    <row r="142" spans="2:11" x14ac:dyDescent="0.35">
      <c r="B142">
        <v>140</v>
      </c>
      <c r="C142" t="s">
        <v>138</v>
      </c>
      <c r="D142">
        <v>4.0149999999999997</v>
      </c>
      <c r="E142">
        <v>0.755</v>
      </c>
      <c r="F142">
        <v>0.76500000000000001</v>
      </c>
      <c r="G142">
        <v>0.58799999999999997</v>
      </c>
      <c r="H142">
        <v>0.498</v>
      </c>
      <c r="I142">
        <v>0.2</v>
      </c>
      <c r="J142">
        <v>8.5000000000000006E-2</v>
      </c>
      <c r="K142">
        <v>2019</v>
      </c>
    </row>
    <row r="143" spans="2:11" x14ac:dyDescent="0.35">
      <c r="B143">
        <v>141</v>
      </c>
      <c r="C143" t="s">
        <v>137</v>
      </c>
      <c r="D143">
        <v>3.9750000000000001</v>
      </c>
      <c r="E143">
        <v>7.2999999999999995E-2</v>
      </c>
      <c r="F143">
        <v>0.92200000000000004</v>
      </c>
      <c r="G143">
        <v>0.443</v>
      </c>
      <c r="H143">
        <v>0.37</v>
      </c>
      <c r="I143">
        <v>0.23300000000000001</v>
      </c>
      <c r="J143">
        <v>3.3000000000000002E-2</v>
      </c>
      <c r="K143">
        <v>2019</v>
      </c>
    </row>
    <row r="144" spans="2:11" x14ac:dyDescent="0.35">
      <c r="B144">
        <v>142</v>
      </c>
      <c r="C144" t="s">
        <v>161</v>
      </c>
      <c r="D144">
        <v>3.9729999999999999</v>
      </c>
      <c r="E144">
        <v>0.27400000000000002</v>
      </c>
      <c r="F144">
        <v>0.75700000000000001</v>
      </c>
      <c r="G144">
        <v>0.505</v>
      </c>
      <c r="H144">
        <v>0.14199999999999999</v>
      </c>
      <c r="I144">
        <v>0.27500000000000002</v>
      </c>
      <c r="J144">
        <v>7.8E-2</v>
      </c>
      <c r="K144">
        <v>2019</v>
      </c>
    </row>
    <row r="145" spans="2:11" x14ac:dyDescent="0.35">
      <c r="B145">
        <v>143</v>
      </c>
      <c r="C145" t="s">
        <v>168</v>
      </c>
      <c r="D145">
        <v>3.9329999999999998</v>
      </c>
      <c r="E145">
        <v>0.27400000000000002</v>
      </c>
      <c r="F145">
        <v>0.91600000000000004</v>
      </c>
      <c r="G145">
        <v>0.55500000000000005</v>
      </c>
      <c r="H145">
        <v>0.14799999999999999</v>
      </c>
      <c r="I145">
        <v>0.16900000000000001</v>
      </c>
      <c r="J145">
        <v>4.1000000000000002E-2</v>
      </c>
      <c r="K145">
        <v>2019</v>
      </c>
    </row>
    <row r="146" spans="2:11" x14ac:dyDescent="0.35">
      <c r="B146">
        <v>144</v>
      </c>
      <c r="C146" t="s">
        <v>118</v>
      </c>
      <c r="D146">
        <v>3.802</v>
      </c>
      <c r="E146">
        <v>0.48899999999999999</v>
      </c>
      <c r="F146">
        <v>1.169</v>
      </c>
      <c r="G146">
        <v>0.16800000000000001</v>
      </c>
      <c r="H146">
        <v>0.35899999999999999</v>
      </c>
      <c r="I146">
        <v>0.107</v>
      </c>
      <c r="J146">
        <v>9.2999999999999999E-2</v>
      </c>
      <c r="K146">
        <v>2019</v>
      </c>
    </row>
    <row r="147" spans="2:11" x14ac:dyDescent="0.35">
      <c r="B147">
        <v>145</v>
      </c>
      <c r="C147" t="s">
        <v>178</v>
      </c>
      <c r="D147">
        <v>3.7749999999999999</v>
      </c>
      <c r="E147">
        <v>4.5999999999999999E-2</v>
      </c>
      <c r="F147">
        <v>0.44700000000000001</v>
      </c>
      <c r="G147">
        <v>0.38</v>
      </c>
      <c r="H147">
        <v>0.22</v>
      </c>
      <c r="I147">
        <v>0.17599999999999999</v>
      </c>
      <c r="J147">
        <v>0.18</v>
      </c>
      <c r="K147">
        <v>2019</v>
      </c>
    </row>
    <row r="148" spans="2:11" x14ac:dyDescent="0.35">
      <c r="B148">
        <v>146</v>
      </c>
      <c r="C148" t="s">
        <v>136</v>
      </c>
      <c r="D148">
        <v>3.6629999999999998</v>
      </c>
      <c r="E148">
        <v>0.36599999999999999</v>
      </c>
      <c r="F148">
        <v>1.1140000000000001</v>
      </c>
      <c r="G148">
        <v>0.433</v>
      </c>
      <c r="H148">
        <v>0.36099999999999999</v>
      </c>
      <c r="I148">
        <v>0.151</v>
      </c>
      <c r="J148">
        <v>8.8999999999999996E-2</v>
      </c>
      <c r="K148">
        <v>2019</v>
      </c>
    </row>
    <row r="149" spans="2:11" x14ac:dyDescent="0.35">
      <c r="B149">
        <v>147</v>
      </c>
      <c r="C149" t="s">
        <v>140</v>
      </c>
      <c r="D149">
        <v>3.597</v>
      </c>
      <c r="E149">
        <v>0.32300000000000001</v>
      </c>
      <c r="F149">
        <v>0.68799999999999994</v>
      </c>
      <c r="G149">
        <v>0.44900000000000001</v>
      </c>
      <c r="H149">
        <v>2.5999999999999999E-2</v>
      </c>
      <c r="I149">
        <v>0.41899999999999998</v>
      </c>
      <c r="J149">
        <v>0.11</v>
      </c>
      <c r="K149">
        <v>2019</v>
      </c>
    </row>
    <row r="150" spans="2:11" x14ac:dyDescent="0.35">
      <c r="B150">
        <v>148</v>
      </c>
      <c r="C150" t="s">
        <v>149</v>
      </c>
      <c r="D150">
        <v>3.488</v>
      </c>
      <c r="E150">
        <v>1.0409999999999999</v>
      </c>
      <c r="F150">
        <v>1.145</v>
      </c>
      <c r="G150">
        <v>0.53800000000000003</v>
      </c>
      <c r="H150">
        <v>0.45500000000000002</v>
      </c>
      <c r="I150">
        <v>2.5000000000000001E-2</v>
      </c>
      <c r="J150">
        <v>0.1</v>
      </c>
      <c r="K150">
        <v>2019</v>
      </c>
    </row>
    <row r="151" spans="2:11" x14ac:dyDescent="0.35">
      <c r="B151">
        <v>149</v>
      </c>
      <c r="C151" t="s">
        <v>177</v>
      </c>
      <c r="D151">
        <v>3.4620000000000002</v>
      </c>
      <c r="E151">
        <v>0.61899999999999999</v>
      </c>
      <c r="F151">
        <v>0.378</v>
      </c>
      <c r="G151">
        <v>0.44</v>
      </c>
      <c r="H151">
        <v>1.2999999999999999E-2</v>
      </c>
      <c r="I151">
        <v>0.33100000000000002</v>
      </c>
      <c r="J151">
        <v>0.14099999999999999</v>
      </c>
      <c r="K151">
        <v>2019</v>
      </c>
    </row>
    <row r="152" spans="2:11" x14ac:dyDescent="0.35">
      <c r="B152">
        <v>150</v>
      </c>
      <c r="C152" t="s">
        <v>152</v>
      </c>
      <c r="D152">
        <v>3.41</v>
      </c>
      <c r="E152">
        <v>0.191</v>
      </c>
      <c r="F152">
        <v>0.56000000000000005</v>
      </c>
      <c r="G152">
        <v>0.495</v>
      </c>
      <c r="H152">
        <v>0.443</v>
      </c>
      <c r="I152">
        <v>0.218</v>
      </c>
      <c r="J152">
        <v>8.8999999999999996E-2</v>
      </c>
      <c r="K152">
        <v>2019</v>
      </c>
    </row>
    <row r="153" spans="2:11" x14ac:dyDescent="0.35">
      <c r="B153">
        <v>151</v>
      </c>
      <c r="C153" t="s">
        <v>157</v>
      </c>
      <c r="D153">
        <v>3.38</v>
      </c>
      <c r="E153">
        <v>0.28699999999999998</v>
      </c>
      <c r="F153">
        <v>1.163</v>
      </c>
      <c r="G153">
        <v>0.46300000000000002</v>
      </c>
      <c r="H153">
        <v>0.14299999999999999</v>
      </c>
      <c r="I153">
        <v>0.108</v>
      </c>
      <c r="J153">
        <v>7.6999999999999999E-2</v>
      </c>
      <c r="K153">
        <v>2019</v>
      </c>
    </row>
    <row r="154" spans="2:11" x14ac:dyDescent="0.35">
      <c r="B154">
        <v>152</v>
      </c>
      <c r="C154" t="s">
        <v>175</v>
      </c>
      <c r="D154">
        <v>3.3340000000000001</v>
      </c>
      <c r="E154">
        <v>0.35899999999999999</v>
      </c>
      <c r="F154">
        <v>0.71099999999999997</v>
      </c>
      <c r="G154">
        <v>0.61399999999999999</v>
      </c>
      <c r="H154">
        <v>0.55500000000000005</v>
      </c>
      <c r="I154">
        <v>0.217</v>
      </c>
      <c r="J154">
        <v>0.41099999999999998</v>
      </c>
      <c r="K154">
        <v>2019</v>
      </c>
    </row>
    <row r="155" spans="2:11" x14ac:dyDescent="0.35">
      <c r="B155">
        <v>153</v>
      </c>
      <c r="C155" t="s">
        <v>167</v>
      </c>
      <c r="D155">
        <v>3.2309999999999999</v>
      </c>
      <c r="E155">
        <v>0.47599999999999998</v>
      </c>
      <c r="F155">
        <v>0.88500000000000001</v>
      </c>
      <c r="G155">
        <v>0.499</v>
      </c>
      <c r="H155">
        <v>0.41699999999999998</v>
      </c>
      <c r="I155">
        <v>0.27600000000000002</v>
      </c>
      <c r="J155">
        <v>0.14699999999999999</v>
      </c>
      <c r="K155">
        <v>2019</v>
      </c>
    </row>
    <row r="156" spans="2:11" x14ac:dyDescent="0.35">
      <c r="B156">
        <v>154</v>
      </c>
      <c r="C156" t="s">
        <v>174</v>
      </c>
      <c r="D156">
        <v>3.2029999999999998</v>
      </c>
      <c r="E156">
        <v>0.35</v>
      </c>
      <c r="F156">
        <v>0.51700000000000002</v>
      </c>
      <c r="G156">
        <v>0.36099999999999999</v>
      </c>
      <c r="H156">
        <v>0</v>
      </c>
      <c r="I156">
        <v>0.158</v>
      </c>
      <c r="J156">
        <v>2.5000000000000001E-2</v>
      </c>
      <c r="K156">
        <v>2019</v>
      </c>
    </row>
    <row r="157" spans="2:11" x14ac:dyDescent="0.35">
      <c r="B157">
        <v>155</v>
      </c>
      <c r="C157" t="s">
        <v>169</v>
      </c>
      <c r="D157">
        <v>3.0830000000000002</v>
      </c>
      <c r="E157">
        <v>2.5999999999999999E-2</v>
      </c>
      <c r="F157">
        <v>0</v>
      </c>
      <c r="G157">
        <v>0.105</v>
      </c>
      <c r="H157">
        <v>0.22500000000000001</v>
      </c>
      <c r="I157">
        <v>0.23499999999999999</v>
      </c>
      <c r="J157">
        <v>3.5000000000000003E-2</v>
      </c>
      <c r="K157">
        <v>2019</v>
      </c>
    </row>
    <row r="158" spans="2:11" x14ac:dyDescent="0.35">
      <c r="B158">
        <v>156</v>
      </c>
      <c r="C158" t="s">
        <v>212</v>
      </c>
      <c r="D158">
        <v>2.8530000000000002</v>
      </c>
      <c r="E158">
        <v>0.30599999999999999</v>
      </c>
      <c r="F158">
        <v>0.57499999999999996</v>
      </c>
      <c r="G158">
        <v>0.29499999999999998</v>
      </c>
      <c r="H158">
        <v>0.01</v>
      </c>
      <c r="I158">
        <v>0.20200000000000001</v>
      </c>
      <c r="J158">
        <v>9.0999999999999998E-2</v>
      </c>
      <c r="K158">
        <v>2019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C3927-2364-49D7-A9CE-DD1BDCB12CCB}">
  <dimension ref="C3:R785"/>
  <sheetViews>
    <sheetView topLeftCell="B4" zoomScale="80" zoomScaleNormal="80" workbookViewId="0">
      <selection activeCell="C3" sqref="C3:R3"/>
    </sheetView>
  </sheetViews>
  <sheetFormatPr defaultRowHeight="14.5" x14ac:dyDescent="0.35"/>
  <cols>
    <col min="3" max="3" width="9.1640625" customWidth="1"/>
    <col min="5" max="5" width="12.1640625" customWidth="1"/>
    <col min="6" max="6" width="13.1640625" customWidth="1"/>
    <col min="7" max="7" width="12.1640625" customWidth="1"/>
    <col min="8" max="9" width="12" customWidth="1"/>
    <col min="10" max="10" width="17.08203125" customWidth="1"/>
    <col min="11" max="11" width="7.75" customWidth="1"/>
    <col min="12" max="12" width="10.75" customWidth="1"/>
    <col min="13" max="13" width="15.9140625" customWidth="1"/>
    <col min="14" max="14" width="7.25" customWidth="1"/>
    <col min="15" max="15" width="15.83203125" customWidth="1"/>
    <col min="16" max="16" width="8.5" customWidth="1"/>
    <col min="17" max="17" width="13.08203125" customWidth="1"/>
  </cols>
  <sheetData>
    <row r="3" spans="3:18" x14ac:dyDescent="0.35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194</v>
      </c>
      <c r="I3" t="s">
        <v>195</v>
      </c>
      <c r="J3" t="s">
        <v>5</v>
      </c>
      <c r="K3" t="s">
        <v>6</v>
      </c>
      <c r="L3" t="s">
        <v>203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198</v>
      </c>
    </row>
    <row r="4" spans="3:18" x14ac:dyDescent="0.35">
      <c r="C4" t="s">
        <v>12</v>
      </c>
      <c r="D4" t="s">
        <v>13</v>
      </c>
      <c r="E4">
        <v>1</v>
      </c>
      <c r="F4">
        <v>7.5869999999999997</v>
      </c>
      <c r="G4">
        <v>3.4110000000000001E-2</v>
      </c>
      <c r="J4">
        <v>1.3965099999999999</v>
      </c>
      <c r="K4">
        <v>1.34951</v>
      </c>
      <c r="M4">
        <v>0.94142999999999999</v>
      </c>
      <c r="N4">
        <v>0.66556999999999999</v>
      </c>
      <c r="O4">
        <v>0.41977999999999999</v>
      </c>
      <c r="P4">
        <v>0.29677999999999999</v>
      </c>
      <c r="Q4">
        <v>2.5173800000000002</v>
      </c>
      <c r="R4">
        <v>2015</v>
      </c>
    </row>
    <row r="5" spans="3:18" x14ac:dyDescent="0.35">
      <c r="C5" t="s">
        <v>14</v>
      </c>
      <c r="D5" t="s">
        <v>13</v>
      </c>
      <c r="E5">
        <v>2</v>
      </c>
      <c r="F5">
        <v>7.5609999999999999</v>
      </c>
      <c r="G5">
        <v>4.8840000000000001E-2</v>
      </c>
      <c r="J5">
        <v>1.3023199999999999</v>
      </c>
      <c r="K5">
        <v>1.4022300000000001</v>
      </c>
      <c r="M5">
        <v>0.94784000000000002</v>
      </c>
      <c r="N5">
        <v>0.62877000000000005</v>
      </c>
      <c r="O5">
        <v>0.14144999999999999</v>
      </c>
      <c r="P5">
        <v>0.43630000000000002</v>
      </c>
      <c r="Q5">
        <v>2.70201</v>
      </c>
      <c r="R5">
        <v>2015</v>
      </c>
    </row>
    <row r="6" spans="3:18" x14ac:dyDescent="0.35">
      <c r="C6" t="s">
        <v>15</v>
      </c>
      <c r="D6" t="s">
        <v>13</v>
      </c>
      <c r="E6">
        <v>3</v>
      </c>
      <c r="F6">
        <v>7.5270000000000001</v>
      </c>
      <c r="G6">
        <v>3.3279999999999997E-2</v>
      </c>
      <c r="J6">
        <v>1.32548</v>
      </c>
      <c r="K6">
        <v>1.3605799999999999</v>
      </c>
      <c r="M6">
        <v>0.87463999999999997</v>
      </c>
      <c r="N6">
        <v>0.64937999999999996</v>
      </c>
      <c r="O6">
        <v>0.48357</v>
      </c>
      <c r="P6">
        <v>0.34139000000000003</v>
      </c>
      <c r="Q6">
        <v>2.4920399999999998</v>
      </c>
      <c r="R6">
        <v>2015</v>
      </c>
    </row>
    <row r="7" spans="3:18" x14ac:dyDescent="0.35">
      <c r="C7" t="s">
        <v>16</v>
      </c>
      <c r="D7" t="s">
        <v>13</v>
      </c>
      <c r="E7">
        <v>4</v>
      </c>
      <c r="F7">
        <v>7.5220000000000002</v>
      </c>
      <c r="G7">
        <v>3.8800000000000001E-2</v>
      </c>
      <c r="J7">
        <v>1.4590000000000001</v>
      </c>
      <c r="K7">
        <v>1.3309500000000001</v>
      </c>
      <c r="M7">
        <v>0.88521000000000005</v>
      </c>
      <c r="N7">
        <v>0.66973000000000005</v>
      </c>
      <c r="O7">
        <v>0.36503000000000002</v>
      </c>
      <c r="P7">
        <v>0.34699000000000002</v>
      </c>
      <c r="Q7">
        <v>2.4653100000000001</v>
      </c>
      <c r="R7">
        <v>2015</v>
      </c>
    </row>
    <row r="8" spans="3:18" x14ac:dyDescent="0.35">
      <c r="C8" t="s">
        <v>17</v>
      </c>
      <c r="D8" t="s">
        <v>18</v>
      </c>
      <c r="E8">
        <v>5</v>
      </c>
      <c r="F8">
        <v>7.4269999999999996</v>
      </c>
      <c r="G8">
        <v>3.5529999999999999E-2</v>
      </c>
      <c r="J8">
        <v>1.32629</v>
      </c>
      <c r="K8">
        <v>1.3226100000000001</v>
      </c>
      <c r="M8">
        <v>0.90563000000000005</v>
      </c>
      <c r="N8">
        <v>0.63297000000000003</v>
      </c>
      <c r="O8">
        <v>0.32956999999999997</v>
      </c>
      <c r="P8">
        <v>0.45811000000000002</v>
      </c>
      <c r="Q8">
        <v>2.4517600000000002</v>
      </c>
      <c r="R8">
        <v>2015</v>
      </c>
    </row>
    <row r="9" spans="3:18" x14ac:dyDescent="0.35">
      <c r="C9" t="s">
        <v>19</v>
      </c>
      <c r="D9" t="s">
        <v>13</v>
      </c>
      <c r="E9">
        <v>6</v>
      </c>
      <c r="F9">
        <v>7.4059999999999997</v>
      </c>
      <c r="G9">
        <v>3.1399999999999997E-2</v>
      </c>
      <c r="J9">
        <v>1.2902499999999999</v>
      </c>
      <c r="K9">
        <v>1.31826</v>
      </c>
      <c r="M9">
        <v>0.88910999999999996</v>
      </c>
      <c r="N9">
        <v>0.64168999999999998</v>
      </c>
      <c r="O9">
        <v>0.41371999999999998</v>
      </c>
      <c r="P9">
        <v>0.23351</v>
      </c>
      <c r="Q9">
        <v>2.6195499999999998</v>
      </c>
      <c r="R9">
        <v>2015</v>
      </c>
    </row>
    <row r="10" spans="3:18" x14ac:dyDescent="0.35">
      <c r="C10" t="s">
        <v>20</v>
      </c>
      <c r="D10" t="s">
        <v>13</v>
      </c>
      <c r="E10">
        <v>7</v>
      </c>
      <c r="F10">
        <v>7.3780000000000001</v>
      </c>
      <c r="G10">
        <v>2.7990000000000001E-2</v>
      </c>
      <c r="J10">
        <v>1.32944</v>
      </c>
      <c r="K10">
        <v>1.28017</v>
      </c>
      <c r="M10">
        <v>0.89283999999999997</v>
      </c>
      <c r="N10">
        <v>0.61575999999999997</v>
      </c>
      <c r="O10">
        <v>0.31813999999999998</v>
      </c>
      <c r="P10">
        <v>0.47610000000000002</v>
      </c>
      <c r="Q10">
        <v>2.4657</v>
      </c>
      <c r="R10">
        <v>2015</v>
      </c>
    </row>
    <row r="11" spans="3:18" x14ac:dyDescent="0.35">
      <c r="C11" t="s">
        <v>21</v>
      </c>
      <c r="D11" t="s">
        <v>13</v>
      </c>
      <c r="E11">
        <v>8</v>
      </c>
      <c r="F11">
        <v>7.3639999999999999</v>
      </c>
      <c r="G11">
        <v>3.1570000000000001E-2</v>
      </c>
      <c r="J11">
        <v>1.3317099999999999</v>
      </c>
      <c r="K11">
        <v>1.2890699999999999</v>
      </c>
      <c r="M11">
        <v>0.91086999999999996</v>
      </c>
      <c r="N11">
        <v>0.65980000000000005</v>
      </c>
      <c r="O11">
        <v>0.43844</v>
      </c>
      <c r="P11">
        <v>0.36262</v>
      </c>
      <c r="Q11">
        <v>2.3711899999999999</v>
      </c>
      <c r="R11">
        <v>2015</v>
      </c>
    </row>
    <row r="12" spans="3:18" x14ac:dyDescent="0.35">
      <c r="C12" t="s">
        <v>22</v>
      </c>
      <c r="D12" t="s">
        <v>23</v>
      </c>
      <c r="E12">
        <v>9</v>
      </c>
      <c r="F12">
        <v>7.2859999999999996</v>
      </c>
      <c r="G12">
        <v>3.3709999999999997E-2</v>
      </c>
      <c r="J12">
        <v>1.2501800000000001</v>
      </c>
      <c r="K12">
        <v>1.3196699999999999</v>
      </c>
      <c r="M12">
        <v>0.90837000000000001</v>
      </c>
      <c r="N12">
        <v>0.63937999999999995</v>
      </c>
      <c r="O12">
        <v>0.42921999999999999</v>
      </c>
      <c r="P12">
        <v>0.47500999999999999</v>
      </c>
      <c r="Q12">
        <v>2.2642500000000001</v>
      </c>
      <c r="R12">
        <v>2015</v>
      </c>
    </row>
    <row r="13" spans="3:18" x14ac:dyDescent="0.35">
      <c r="C13" t="s">
        <v>24</v>
      </c>
      <c r="D13" t="s">
        <v>23</v>
      </c>
      <c r="E13">
        <v>10</v>
      </c>
      <c r="F13">
        <v>7.2839999999999998</v>
      </c>
      <c r="G13">
        <v>4.0829999999999998E-2</v>
      </c>
      <c r="J13">
        <v>1.33358</v>
      </c>
      <c r="K13">
        <v>1.3092299999999999</v>
      </c>
      <c r="M13">
        <v>0.93156000000000005</v>
      </c>
      <c r="N13">
        <v>0.65124000000000004</v>
      </c>
      <c r="O13">
        <v>0.35637000000000002</v>
      </c>
      <c r="P13">
        <v>0.43562000000000001</v>
      </c>
      <c r="Q13">
        <v>2.2664599999999999</v>
      </c>
      <c r="R13">
        <v>2015</v>
      </c>
    </row>
    <row r="14" spans="3:18" x14ac:dyDescent="0.35">
      <c r="C14" t="s">
        <v>25</v>
      </c>
      <c r="D14" t="s">
        <v>26</v>
      </c>
      <c r="E14">
        <v>11</v>
      </c>
      <c r="F14">
        <v>7.2779999999999996</v>
      </c>
      <c r="G14">
        <v>3.4700000000000002E-2</v>
      </c>
      <c r="J14">
        <v>1.2285699999999999</v>
      </c>
      <c r="K14">
        <v>1.22393</v>
      </c>
      <c r="M14">
        <v>0.91386999999999996</v>
      </c>
      <c r="N14">
        <v>0.41319</v>
      </c>
      <c r="O14">
        <v>7.7850000000000003E-2</v>
      </c>
      <c r="P14">
        <v>0.33172000000000001</v>
      </c>
      <c r="Q14">
        <v>3.0885400000000001</v>
      </c>
      <c r="R14">
        <v>2015</v>
      </c>
    </row>
    <row r="15" spans="3:18" x14ac:dyDescent="0.35">
      <c r="C15" t="s">
        <v>27</v>
      </c>
      <c r="D15" t="s">
        <v>28</v>
      </c>
      <c r="E15">
        <v>12</v>
      </c>
      <c r="F15">
        <v>7.226</v>
      </c>
      <c r="G15">
        <v>4.4540000000000003E-2</v>
      </c>
      <c r="J15">
        <v>0.95577999999999996</v>
      </c>
      <c r="K15">
        <v>1.2378800000000001</v>
      </c>
      <c r="M15">
        <v>0.86026999999999998</v>
      </c>
      <c r="N15">
        <v>0.63375999999999999</v>
      </c>
      <c r="O15">
        <v>0.10582999999999999</v>
      </c>
      <c r="P15">
        <v>0.25496999999999997</v>
      </c>
      <c r="Q15">
        <v>3.1772800000000001</v>
      </c>
      <c r="R15">
        <v>2015</v>
      </c>
    </row>
    <row r="16" spans="3:18" x14ac:dyDescent="0.35">
      <c r="C16" t="s">
        <v>29</v>
      </c>
      <c r="D16" t="s">
        <v>13</v>
      </c>
      <c r="E16">
        <v>13</v>
      </c>
      <c r="F16">
        <v>7.2</v>
      </c>
      <c r="G16">
        <v>3.7510000000000002E-2</v>
      </c>
      <c r="J16">
        <v>1.3372299999999999</v>
      </c>
      <c r="K16">
        <v>1.29704</v>
      </c>
      <c r="M16">
        <v>0.89041999999999999</v>
      </c>
      <c r="N16">
        <v>0.62433000000000005</v>
      </c>
      <c r="O16">
        <v>0.18676000000000001</v>
      </c>
      <c r="P16">
        <v>0.33088000000000001</v>
      </c>
      <c r="Q16">
        <v>2.5331999999999999</v>
      </c>
      <c r="R16">
        <v>2015</v>
      </c>
    </row>
    <row r="17" spans="3:18" x14ac:dyDescent="0.35">
      <c r="C17" t="s">
        <v>30</v>
      </c>
      <c r="D17" t="s">
        <v>28</v>
      </c>
      <c r="E17">
        <v>14</v>
      </c>
      <c r="F17">
        <v>7.1870000000000003</v>
      </c>
      <c r="G17">
        <v>4.1759999999999999E-2</v>
      </c>
      <c r="J17">
        <v>1.02054</v>
      </c>
      <c r="K17">
        <v>0.91451000000000005</v>
      </c>
      <c r="M17">
        <v>0.81444000000000005</v>
      </c>
      <c r="N17">
        <v>0.48181000000000002</v>
      </c>
      <c r="O17">
        <v>0.21312</v>
      </c>
      <c r="P17">
        <v>0.14074</v>
      </c>
      <c r="Q17">
        <v>3.6021399999999999</v>
      </c>
      <c r="R17">
        <v>2015</v>
      </c>
    </row>
    <row r="18" spans="3:18" x14ac:dyDescent="0.35">
      <c r="C18" t="s">
        <v>31</v>
      </c>
      <c r="D18" t="s">
        <v>18</v>
      </c>
      <c r="E18">
        <v>15</v>
      </c>
      <c r="F18">
        <v>7.1189999999999998</v>
      </c>
      <c r="G18">
        <v>3.8390000000000001E-2</v>
      </c>
      <c r="J18">
        <v>1.3945099999999999</v>
      </c>
      <c r="K18">
        <v>1.2471099999999999</v>
      </c>
      <c r="M18">
        <v>0.86178999999999994</v>
      </c>
      <c r="N18">
        <v>0.54603999999999997</v>
      </c>
      <c r="O18">
        <v>0.15890000000000001</v>
      </c>
      <c r="P18">
        <v>0.40105000000000002</v>
      </c>
      <c r="Q18">
        <v>2.5101100000000001</v>
      </c>
      <c r="R18">
        <v>2015</v>
      </c>
    </row>
    <row r="19" spans="3:18" x14ac:dyDescent="0.35">
      <c r="C19" t="s">
        <v>32</v>
      </c>
      <c r="D19" t="s">
        <v>28</v>
      </c>
      <c r="E19">
        <v>16</v>
      </c>
      <c r="F19">
        <v>6.9829999999999997</v>
      </c>
      <c r="G19">
        <v>4.0759999999999998E-2</v>
      </c>
      <c r="J19">
        <v>0.98124</v>
      </c>
      <c r="K19">
        <v>1.2328699999999999</v>
      </c>
      <c r="M19">
        <v>0.69701999999999997</v>
      </c>
      <c r="N19">
        <v>0.49048999999999998</v>
      </c>
      <c r="O19">
        <v>0.17521</v>
      </c>
      <c r="P19">
        <v>0.14574000000000001</v>
      </c>
      <c r="Q19">
        <v>3.2600099999999999</v>
      </c>
      <c r="R19">
        <v>2015</v>
      </c>
    </row>
    <row r="20" spans="3:18" x14ac:dyDescent="0.35">
      <c r="C20" t="s">
        <v>33</v>
      </c>
      <c r="D20" t="s">
        <v>13</v>
      </c>
      <c r="E20">
        <v>17</v>
      </c>
      <c r="F20">
        <v>6.9459999999999997</v>
      </c>
      <c r="G20">
        <v>3.499E-2</v>
      </c>
      <c r="J20">
        <v>1.5639099999999999</v>
      </c>
      <c r="K20">
        <v>1.21963</v>
      </c>
      <c r="M20">
        <v>0.91893999999999998</v>
      </c>
      <c r="N20">
        <v>0.61582999999999999</v>
      </c>
      <c r="O20">
        <v>0.37797999999999998</v>
      </c>
      <c r="P20">
        <v>0.28033999999999998</v>
      </c>
      <c r="Q20">
        <v>1.9696100000000001</v>
      </c>
      <c r="R20">
        <v>2015</v>
      </c>
    </row>
    <row r="21" spans="3:18" x14ac:dyDescent="0.35">
      <c r="C21" t="s">
        <v>34</v>
      </c>
      <c r="D21" t="s">
        <v>13</v>
      </c>
      <c r="E21">
        <v>18</v>
      </c>
      <c r="F21">
        <v>6.94</v>
      </c>
      <c r="G21">
        <v>3.6760000000000001E-2</v>
      </c>
      <c r="J21">
        <v>1.33596</v>
      </c>
      <c r="K21">
        <v>1.36948</v>
      </c>
      <c r="M21">
        <v>0.89532999999999996</v>
      </c>
      <c r="N21">
        <v>0.61777000000000004</v>
      </c>
      <c r="O21">
        <v>0.28703000000000001</v>
      </c>
      <c r="P21">
        <v>0.45900999999999997</v>
      </c>
      <c r="Q21">
        <v>1.9757</v>
      </c>
      <c r="R21">
        <v>2015</v>
      </c>
    </row>
    <row r="22" spans="3:18" x14ac:dyDescent="0.35">
      <c r="C22" t="s">
        <v>35</v>
      </c>
      <c r="D22" t="s">
        <v>13</v>
      </c>
      <c r="E22">
        <v>19</v>
      </c>
      <c r="F22">
        <v>6.9370000000000003</v>
      </c>
      <c r="G22">
        <v>3.5950000000000003E-2</v>
      </c>
      <c r="J22">
        <v>1.30782</v>
      </c>
      <c r="K22">
        <v>1.28566</v>
      </c>
      <c r="M22">
        <v>0.89666999999999997</v>
      </c>
      <c r="N22">
        <v>0.58450000000000002</v>
      </c>
      <c r="O22">
        <v>0.22539999999999999</v>
      </c>
      <c r="P22">
        <v>0.2225</v>
      </c>
      <c r="Q22">
        <v>2.4148399999999999</v>
      </c>
      <c r="R22">
        <v>2015</v>
      </c>
    </row>
    <row r="23" spans="3:18" x14ac:dyDescent="0.35">
      <c r="C23" t="s">
        <v>36</v>
      </c>
      <c r="D23" t="s">
        <v>26</v>
      </c>
      <c r="E23">
        <v>20</v>
      </c>
      <c r="F23">
        <v>6.9009999999999998</v>
      </c>
      <c r="G23">
        <v>3.7289999999999997E-2</v>
      </c>
      <c r="J23">
        <v>1.42727</v>
      </c>
      <c r="K23">
        <v>1.12575</v>
      </c>
      <c r="M23">
        <v>0.80925000000000002</v>
      </c>
      <c r="N23">
        <v>0.64156999999999997</v>
      </c>
      <c r="O23">
        <v>0.38583000000000001</v>
      </c>
      <c r="P23">
        <v>0.26428000000000001</v>
      </c>
      <c r="Q23">
        <v>2.24743</v>
      </c>
      <c r="R23">
        <v>2015</v>
      </c>
    </row>
    <row r="24" spans="3:18" x14ac:dyDescent="0.35">
      <c r="C24" t="s">
        <v>37</v>
      </c>
      <c r="D24" t="s">
        <v>13</v>
      </c>
      <c r="E24">
        <v>21</v>
      </c>
      <c r="F24">
        <v>6.867</v>
      </c>
      <c r="G24">
        <v>1.866E-2</v>
      </c>
      <c r="J24">
        <v>1.26637</v>
      </c>
      <c r="K24">
        <v>1.28548</v>
      </c>
      <c r="M24">
        <v>0.90942999999999996</v>
      </c>
      <c r="N24">
        <v>0.59624999999999995</v>
      </c>
      <c r="O24">
        <v>0.32067000000000001</v>
      </c>
      <c r="P24">
        <v>0.51912000000000003</v>
      </c>
      <c r="Q24">
        <v>1.96994</v>
      </c>
      <c r="R24">
        <v>2015</v>
      </c>
    </row>
    <row r="25" spans="3:18" x14ac:dyDescent="0.35">
      <c r="C25" t="s">
        <v>38</v>
      </c>
      <c r="D25" t="s">
        <v>26</v>
      </c>
      <c r="E25">
        <v>22</v>
      </c>
      <c r="F25">
        <v>6.8529999999999998</v>
      </c>
      <c r="G25">
        <v>5.3350000000000002E-2</v>
      </c>
      <c r="J25">
        <v>1.3601099999999999</v>
      </c>
      <c r="K25">
        <v>1.08182</v>
      </c>
      <c r="M25">
        <v>0.76275999999999999</v>
      </c>
      <c r="N25">
        <v>0.63273999999999997</v>
      </c>
      <c r="O25">
        <v>0.32523999999999997</v>
      </c>
      <c r="P25">
        <v>0.21542</v>
      </c>
      <c r="Q25">
        <v>2.4748899999999998</v>
      </c>
      <c r="R25">
        <v>2015</v>
      </c>
    </row>
    <row r="26" spans="3:18" x14ac:dyDescent="0.35">
      <c r="C26" t="s">
        <v>39</v>
      </c>
      <c r="D26" t="s">
        <v>28</v>
      </c>
      <c r="E26">
        <v>23</v>
      </c>
      <c r="F26">
        <v>6.81</v>
      </c>
      <c r="G26">
        <v>6.4759999999999998E-2</v>
      </c>
      <c r="J26">
        <v>1.0442400000000001</v>
      </c>
      <c r="K26">
        <v>1.25596</v>
      </c>
      <c r="M26">
        <v>0.72052000000000005</v>
      </c>
      <c r="N26">
        <v>0.42908000000000002</v>
      </c>
      <c r="O26">
        <v>0.11069</v>
      </c>
      <c r="P26">
        <v>5.8409999999999997E-2</v>
      </c>
      <c r="Q26">
        <v>3.1913100000000001</v>
      </c>
      <c r="R26">
        <v>2015</v>
      </c>
    </row>
    <row r="27" spans="3:18" x14ac:dyDescent="0.35">
      <c r="C27" t="s">
        <v>40</v>
      </c>
      <c r="D27" t="s">
        <v>41</v>
      </c>
      <c r="E27">
        <v>24</v>
      </c>
      <c r="F27">
        <v>6.798</v>
      </c>
      <c r="G27">
        <v>3.78E-2</v>
      </c>
      <c r="J27">
        <v>1.52186</v>
      </c>
      <c r="K27">
        <v>1.02</v>
      </c>
      <c r="M27">
        <v>1.02525</v>
      </c>
      <c r="N27">
        <v>0.54252</v>
      </c>
      <c r="O27">
        <v>0.49209999999999998</v>
      </c>
      <c r="P27">
        <v>0.31104999999999999</v>
      </c>
      <c r="Q27">
        <v>1.8850100000000001</v>
      </c>
      <c r="R27">
        <v>2015</v>
      </c>
    </row>
    <row r="28" spans="3:18" x14ac:dyDescent="0.35">
      <c r="C28" t="s">
        <v>42</v>
      </c>
      <c r="D28" t="s">
        <v>28</v>
      </c>
      <c r="E28">
        <v>25</v>
      </c>
      <c r="F28">
        <v>6.7859999999999996</v>
      </c>
      <c r="G28">
        <v>4.9099999999999998E-2</v>
      </c>
      <c r="J28">
        <v>1.0635300000000001</v>
      </c>
      <c r="K28">
        <v>1.1984999999999999</v>
      </c>
      <c r="M28">
        <v>0.79661000000000004</v>
      </c>
      <c r="N28">
        <v>0.54210000000000003</v>
      </c>
      <c r="O28">
        <v>9.2700000000000005E-2</v>
      </c>
      <c r="P28">
        <v>0.24434</v>
      </c>
      <c r="Q28">
        <v>2.8484799999999999</v>
      </c>
      <c r="R28">
        <v>2015</v>
      </c>
    </row>
    <row r="29" spans="3:18" x14ac:dyDescent="0.35">
      <c r="C29" t="s">
        <v>43</v>
      </c>
      <c r="D29" t="s">
        <v>13</v>
      </c>
      <c r="E29">
        <v>26</v>
      </c>
      <c r="F29">
        <v>6.75</v>
      </c>
      <c r="G29">
        <v>1.848E-2</v>
      </c>
      <c r="J29">
        <v>1.32792</v>
      </c>
      <c r="K29">
        <v>1.2993699999999999</v>
      </c>
      <c r="M29">
        <v>0.89185999999999999</v>
      </c>
      <c r="N29">
        <v>0.61477000000000004</v>
      </c>
      <c r="O29">
        <v>0.21843000000000001</v>
      </c>
      <c r="P29">
        <v>0.28214</v>
      </c>
      <c r="Q29">
        <v>2.1156899999999998</v>
      </c>
      <c r="R29">
        <v>2015</v>
      </c>
    </row>
    <row r="30" spans="3:18" x14ac:dyDescent="0.35">
      <c r="C30" t="s">
        <v>44</v>
      </c>
      <c r="D30" t="s">
        <v>28</v>
      </c>
      <c r="E30">
        <v>27</v>
      </c>
      <c r="F30">
        <v>6.67</v>
      </c>
      <c r="G30">
        <v>5.8000000000000003E-2</v>
      </c>
      <c r="J30">
        <v>1.1071500000000001</v>
      </c>
      <c r="K30">
        <v>1.1244700000000001</v>
      </c>
      <c r="M30">
        <v>0.85857000000000006</v>
      </c>
      <c r="N30">
        <v>0.44131999999999999</v>
      </c>
      <c r="O30">
        <v>0.12869</v>
      </c>
      <c r="P30">
        <v>0.33362999999999998</v>
      </c>
      <c r="Q30">
        <v>2.6758500000000001</v>
      </c>
      <c r="R30">
        <v>2015</v>
      </c>
    </row>
    <row r="31" spans="3:18" x14ac:dyDescent="0.35">
      <c r="C31" t="s">
        <v>45</v>
      </c>
      <c r="D31" t="s">
        <v>26</v>
      </c>
      <c r="E31">
        <v>28</v>
      </c>
      <c r="F31">
        <v>6.6109999999999998</v>
      </c>
      <c r="G31">
        <v>6.2570000000000001E-2</v>
      </c>
      <c r="J31">
        <v>1.69042</v>
      </c>
      <c r="K31">
        <v>1.0786</v>
      </c>
      <c r="M31">
        <v>0.79732999999999998</v>
      </c>
      <c r="N31">
        <v>0.64039999999999997</v>
      </c>
      <c r="O31">
        <v>0.52207999999999999</v>
      </c>
      <c r="P31">
        <v>0.32573000000000002</v>
      </c>
      <c r="Q31">
        <v>1.55674</v>
      </c>
      <c r="R31">
        <v>2015</v>
      </c>
    </row>
    <row r="32" spans="3:18" x14ac:dyDescent="0.35">
      <c r="C32" t="s">
        <v>46</v>
      </c>
      <c r="D32" t="s">
        <v>13</v>
      </c>
      <c r="E32">
        <v>29</v>
      </c>
      <c r="F32">
        <v>6.5750000000000002</v>
      </c>
      <c r="G32">
        <v>3.5119999999999998E-2</v>
      </c>
      <c r="J32">
        <v>1.2777799999999999</v>
      </c>
      <c r="K32">
        <v>1.2603800000000001</v>
      </c>
      <c r="M32">
        <v>0.94579000000000002</v>
      </c>
      <c r="N32">
        <v>0.55010999999999999</v>
      </c>
      <c r="O32">
        <v>0.20646</v>
      </c>
      <c r="P32">
        <v>0.12332</v>
      </c>
      <c r="Q32">
        <v>2.2112599999999998</v>
      </c>
      <c r="R32">
        <v>2015</v>
      </c>
    </row>
    <row r="33" spans="3:18" x14ac:dyDescent="0.35">
      <c r="C33" t="s">
        <v>47</v>
      </c>
      <c r="D33" t="s">
        <v>28</v>
      </c>
      <c r="E33">
        <v>30</v>
      </c>
      <c r="F33">
        <v>6.5739999999999998</v>
      </c>
      <c r="G33">
        <v>4.6120000000000001E-2</v>
      </c>
      <c r="J33">
        <v>1.0535099999999999</v>
      </c>
      <c r="K33">
        <v>1.24823</v>
      </c>
      <c r="M33">
        <v>0.78722999999999999</v>
      </c>
      <c r="N33">
        <v>0.44973999999999997</v>
      </c>
      <c r="O33">
        <v>8.4839999999999999E-2</v>
      </c>
      <c r="P33">
        <v>0.11451</v>
      </c>
      <c r="Q33">
        <v>2.8359999999999999</v>
      </c>
      <c r="R33">
        <v>2015</v>
      </c>
    </row>
    <row r="34" spans="3:18" x14ac:dyDescent="0.35">
      <c r="C34" t="s">
        <v>48</v>
      </c>
      <c r="D34" t="s">
        <v>49</v>
      </c>
      <c r="E34">
        <v>31</v>
      </c>
      <c r="F34">
        <v>6.5049999999999999</v>
      </c>
      <c r="G34">
        <v>4.1680000000000002E-2</v>
      </c>
      <c r="J34">
        <v>1.1789799999999999</v>
      </c>
      <c r="K34">
        <v>1.2064299999999999</v>
      </c>
      <c r="M34">
        <v>0.84482999999999997</v>
      </c>
      <c r="N34">
        <v>0.46364</v>
      </c>
      <c r="O34">
        <v>2.6519999999999998E-2</v>
      </c>
      <c r="P34">
        <v>0.10686</v>
      </c>
      <c r="Q34">
        <v>2.6778200000000001</v>
      </c>
      <c r="R34">
        <v>2015</v>
      </c>
    </row>
    <row r="35" spans="3:18" x14ac:dyDescent="0.35">
      <c r="C35" t="s">
        <v>50</v>
      </c>
      <c r="D35" t="s">
        <v>28</v>
      </c>
      <c r="E35">
        <v>32</v>
      </c>
      <c r="F35">
        <v>6.4850000000000003</v>
      </c>
      <c r="G35">
        <v>4.539E-2</v>
      </c>
      <c r="J35">
        <v>1.06166</v>
      </c>
      <c r="K35">
        <v>1.2089000000000001</v>
      </c>
      <c r="M35">
        <v>0.81159999999999999</v>
      </c>
      <c r="N35">
        <v>0.60362000000000005</v>
      </c>
      <c r="O35">
        <v>0.24557999999999999</v>
      </c>
      <c r="P35">
        <v>0.2324</v>
      </c>
      <c r="Q35">
        <v>2.3214199999999998</v>
      </c>
      <c r="R35">
        <v>2015</v>
      </c>
    </row>
    <row r="36" spans="3:18" x14ac:dyDescent="0.35">
      <c r="C36" t="s">
        <v>51</v>
      </c>
      <c r="D36" t="s">
        <v>28</v>
      </c>
      <c r="E36">
        <v>33</v>
      </c>
      <c r="F36">
        <v>6.4770000000000003</v>
      </c>
      <c r="G36">
        <v>5.0509999999999999E-2</v>
      </c>
      <c r="J36">
        <v>0.91861000000000004</v>
      </c>
      <c r="K36">
        <v>1.2401800000000001</v>
      </c>
      <c r="M36">
        <v>0.69077</v>
      </c>
      <c r="N36">
        <v>0.53466000000000002</v>
      </c>
      <c r="O36">
        <v>5.1200000000000002E-2</v>
      </c>
      <c r="P36">
        <v>0.18401000000000001</v>
      </c>
      <c r="Q36">
        <v>2.85737</v>
      </c>
      <c r="R36">
        <v>2015</v>
      </c>
    </row>
    <row r="37" spans="3:18" x14ac:dyDescent="0.35">
      <c r="C37" t="s">
        <v>52</v>
      </c>
      <c r="D37" t="s">
        <v>41</v>
      </c>
      <c r="E37">
        <v>34</v>
      </c>
      <c r="F37">
        <v>6.4550000000000001</v>
      </c>
      <c r="G37">
        <v>3.5569999999999997E-2</v>
      </c>
      <c r="J37">
        <v>0.96689999999999998</v>
      </c>
      <c r="K37">
        <v>1.2650399999999999</v>
      </c>
      <c r="M37">
        <v>0.73850000000000005</v>
      </c>
      <c r="N37">
        <v>0.55664000000000002</v>
      </c>
      <c r="O37">
        <v>3.1870000000000002E-2</v>
      </c>
      <c r="P37">
        <v>0.57630000000000003</v>
      </c>
      <c r="Q37">
        <v>2.3194499999999998</v>
      </c>
      <c r="R37">
        <v>2015</v>
      </c>
    </row>
    <row r="38" spans="3:18" x14ac:dyDescent="0.35">
      <c r="C38" t="s">
        <v>53</v>
      </c>
      <c r="D38" t="s">
        <v>26</v>
      </c>
      <c r="E38">
        <v>35</v>
      </c>
      <c r="F38">
        <v>6.4109999999999996</v>
      </c>
      <c r="G38">
        <v>4.6330000000000003E-2</v>
      </c>
      <c r="J38">
        <v>1.39541</v>
      </c>
      <c r="K38">
        <v>1.0839300000000001</v>
      </c>
      <c r="M38">
        <v>0.72024999999999995</v>
      </c>
      <c r="N38">
        <v>0.31047999999999998</v>
      </c>
      <c r="O38">
        <v>0.32523999999999997</v>
      </c>
      <c r="P38">
        <v>0.13705999999999999</v>
      </c>
      <c r="Q38">
        <v>2.43872</v>
      </c>
      <c r="R38">
        <v>2015</v>
      </c>
    </row>
    <row r="39" spans="3:18" x14ac:dyDescent="0.35">
      <c r="C39" t="s">
        <v>54</v>
      </c>
      <c r="D39" t="s">
        <v>13</v>
      </c>
      <c r="E39">
        <v>36</v>
      </c>
      <c r="F39">
        <v>6.3289999999999997</v>
      </c>
      <c r="G39">
        <v>3.4680000000000002E-2</v>
      </c>
      <c r="J39">
        <v>1.23011</v>
      </c>
      <c r="K39">
        <v>1.31379</v>
      </c>
      <c r="M39">
        <v>0.95562000000000002</v>
      </c>
      <c r="N39">
        <v>0.45950999999999997</v>
      </c>
      <c r="O39">
        <v>6.3979999999999995E-2</v>
      </c>
      <c r="P39">
        <v>0.18226999999999999</v>
      </c>
      <c r="Q39">
        <v>2.1236700000000002</v>
      </c>
      <c r="R39">
        <v>2015</v>
      </c>
    </row>
    <row r="40" spans="3:18" x14ac:dyDescent="0.35">
      <c r="C40" t="s">
        <v>55</v>
      </c>
      <c r="D40" t="s">
        <v>13</v>
      </c>
      <c r="E40">
        <v>37</v>
      </c>
      <c r="F40">
        <v>6.3019999999999996</v>
      </c>
      <c r="G40">
        <v>4.206E-2</v>
      </c>
      <c r="J40">
        <v>1.2074</v>
      </c>
      <c r="K40">
        <v>1.30203</v>
      </c>
      <c r="M40">
        <v>0.88721000000000005</v>
      </c>
      <c r="N40">
        <v>0.60365000000000002</v>
      </c>
      <c r="O40">
        <v>0.13586000000000001</v>
      </c>
      <c r="P40">
        <v>0.51751999999999998</v>
      </c>
      <c r="Q40">
        <v>1.6488</v>
      </c>
      <c r="R40">
        <v>2015</v>
      </c>
    </row>
    <row r="41" spans="3:18" x14ac:dyDescent="0.35">
      <c r="C41" t="s">
        <v>56</v>
      </c>
      <c r="D41" t="s">
        <v>57</v>
      </c>
      <c r="E41">
        <v>38</v>
      </c>
      <c r="F41">
        <v>6.298</v>
      </c>
      <c r="G41">
        <v>3.8679999999999999E-2</v>
      </c>
      <c r="J41">
        <v>1.29098</v>
      </c>
      <c r="K41">
        <v>1.0761700000000001</v>
      </c>
      <c r="M41">
        <v>0.87529999999999997</v>
      </c>
      <c r="N41">
        <v>0.39739999999999998</v>
      </c>
      <c r="O41">
        <v>8.1290000000000001E-2</v>
      </c>
      <c r="P41">
        <v>0.25375999999999999</v>
      </c>
      <c r="Q41">
        <v>2.3232300000000001</v>
      </c>
      <c r="R41">
        <v>2015</v>
      </c>
    </row>
    <row r="42" spans="3:18" x14ac:dyDescent="0.35">
      <c r="C42" t="s">
        <v>58</v>
      </c>
      <c r="D42" t="s">
        <v>26</v>
      </c>
      <c r="E42">
        <v>39</v>
      </c>
      <c r="F42">
        <v>6.2949999999999999</v>
      </c>
      <c r="G42">
        <v>4.4560000000000002E-2</v>
      </c>
      <c r="J42">
        <v>1.5542199999999999</v>
      </c>
      <c r="K42">
        <v>1.16594</v>
      </c>
      <c r="M42">
        <v>0.72492000000000001</v>
      </c>
      <c r="N42">
        <v>0.55498999999999998</v>
      </c>
      <c r="O42">
        <v>0.25608999999999998</v>
      </c>
      <c r="P42">
        <v>0.16228000000000001</v>
      </c>
      <c r="Q42">
        <v>1.8763399999999999</v>
      </c>
      <c r="R42">
        <v>2015</v>
      </c>
    </row>
    <row r="43" spans="3:18" x14ac:dyDescent="0.35">
      <c r="C43" t="s">
        <v>59</v>
      </c>
      <c r="D43" t="s">
        <v>28</v>
      </c>
      <c r="E43">
        <v>40</v>
      </c>
      <c r="F43">
        <v>6.2690000000000001</v>
      </c>
      <c r="G43">
        <v>9.8110000000000003E-2</v>
      </c>
      <c r="J43">
        <v>0.99534</v>
      </c>
      <c r="K43">
        <v>0.97199999999999998</v>
      </c>
      <c r="M43">
        <v>0.60819999999999996</v>
      </c>
      <c r="N43">
        <v>0.59657000000000004</v>
      </c>
      <c r="O43">
        <v>0.13633000000000001</v>
      </c>
      <c r="P43">
        <v>0.16991000000000001</v>
      </c>
      <c r="Q43">
        <v>2.79094</v>
      </c>
      <c r="R43">
        <v>2015</v>
      </c>
    </row>
    <row r="44" spans="3:18" x14ac:dyDescent="0.35">
      <c r="C44" t="s">
        <v>60</v>
      </c>
      <c r="D44" t="s">
        <v>28</v>
      </c>
      <c r="E44">
        <v>41</v>
      </c>
      <c r="F44">
        <v>6.1680000000000001</v>
      </c>
      <c r="G44">
        <v>0.10895000000000001</v>
      </c>
      <c r="J44">
        <v>1.21183</v>
      </c>
      <c r="K44">
        <v>1.18354</v>
      </c>
      <c r="M44">
        <v>0.61482999999999999</v>
      </c>
      <c r="N44">
        <v>0.55884</v>
      </c>
      <c r="O44">
        <v>1.14E-2</v>
      </c>
      <c r="P44">
        <v>0.31844</v>
      </c>
      <c r="Q44">
        <v>2.2688199999999998</v>
      </c>
      <c r="R44">
        <v>2015</v>
      </c>
    </row>
    <row r="45" spans="3:18" x14ac:dyDescent="0.35">
      <c r="C45" t="s">
        <v>61</v>
      </c>
      <c r="D45" t="s">
        <v>28</v>
      </c>
      <c r="E45">
        <v>42</v>
      </c>
      <c r="F45">
        <v>6.13</v>
      </c>
      <c r="G45">
        <v>5.6180000000000001E-2</v>
      </c>
      <c r="J45">
        <v>0.76454</v>
      </c>
      <c r="K45">
        <v>1.0250699999999999</v>
      </c>
      <c r="M45">
        <v>0.67737000000000003</v>
      </c>
      <c r="N45">
        <v>0.40350000000000003</v>
      </c>
      <c r="O45">
        <v>0.11776</v>
      </c>
      <c r="P45">
        <v>0.10692</v>
      </c>
      <c r="Q45">
        <v>3.0350000000000001</v>
      </c>
      <c r="R45">
        <v>2015</v>
      </c>
    </row>
    <row r="46" spans="3:18" x14ac:dyDescent="0.35">
      <c r="C46" t="s">
        <v>62</v>
      </c>
      <c r="D46" t="s">
        <v>28</v>
      </c>
      <c r="E46">
        <v>43</v>
      </c>
      <c r="F46">
        <v>6.1230000000000002</v>
      </c>
      <c r="G46">
        <v>5.2240000000000002E-2</v>
      </c>
      <c r="J46">
        <v>0.74553000000000003</v>
      </c>
      <c r="K46">
        <v>1.04356</v>
      </c>
      <c r="M46">
        <v>0.64424999999999999</v>
      </c>
      <c r="N46">
        <v>0.57733000000000001</v>
      </c>
      <c r="O46">
        <v>9.4719999999999999E-2</v>
      </c>
      <c r="P46">
        <v>0.27489000000000002</v>
      </c>
      <c r="Q46">
        <v>2.74255</v>
      </c>
      <c r="R46">
        <v>2015</v>
      </c>
    </row>
    <row r="47" spans="3:18" x14ac:dyDescent="0.35">
      <c r="C47" t="s">
        <v>63</v>
      </c>
      <c r="D47" t="s">
        <v>49</v>
      </c>
      <c r="E47">
        <v>44</v>
      </c>
      <c r="F47">
        <v>6.0030000000000001</v>
      </c>
      <c r="G47">
        <v>4.3610000000000003E-2</v>
      </c>
      <c r="J47">
        <v>0.63244</v>
      </c>
      <c r="K47">
        <v>1.34043</v>
      </c>
      <c r="M47">
        <v>0.59772000000000003</v>
      </c>
      <c r="N47">
        <v>0.65820999999999996</v>
      </c>
      <c r="O47">
        <v>0.30825999999999998</v>
      </c>
      <c r="P47">
        <v>0.22836999999999999</v>
      </c>
      <c r="Q47">
        <v>2.2374100000000001</v>
      </c>
      <c r="R47">
        <v>2015</v>
      </c>
    </row>
    <row r="48" spans="3:18" x14ac:dyDescent="0.35">
      <c r="C48" t="s">
        <v>64</v>
      </c>
      <c r="D48" t="s">
        <v>49</v>
      </c>
      <c r="E48">
        <v>45</v>
      </c>
      <c r="F48">
        <v>5.9950000000000001</v>
      </c>
      <c r="G48">
        <v>4.267E-2</v>
      </c>
      <c r="J48">
        <v>1.1689099999999999</v>
      </c>
      <c r="K48">
        <v>1.26999</v>
      </c>
      <c r="M48">
        <v>0.78902000000000005</v>
      </c>
      <c r="N48">
        <v>0.31751000000000001</v>
      </c>
      <c r="O48">
        <v>3.431E-2</v>
      </c>
      <c r="P48">
        <v>0.16893</v>
      </c>
      <c r="Q48">
        <v>2.2463899999999999</v>
      </c>
      <c r="R48">
        <v>2015</v>
      </c>
    </row>
    <row r="49" spans="3:18" x14ac:dyDescent="0.35">
      <c r="C49" t="s">
        <v>65</v>
      </c>
      <c r="D49" t="s">
        <v>57</v>
      </c>
      <c r="E49">
        <v>46</v>
      </c>
      <c r="F49">
        <v>5.9870000000000001</v>
      </c>
      <c r="G49">
        <v>3.5810000000000002E-2</v>
      </c>
      <c r="J49">
        <v>1.27074</v>
      </c>
      <c r="K49">
        <v>1.25712</v>
      </c>
      <c r="M49">
        <v>0.99111000000000005</v>
      </c>
      <c r="N49">
        <v>0.49614999999999998</v>
      </c>
      <c r="O49">
        <v>0.18060000000000001</v>
      </c>
      <c r="P49">
        <v>0.10705000000000001</v>
      </c>
      <c r="Q49">
        <v>1.68435</v>
      </c>
      <c r="R49">
        <v>2015</v>
      </c>
    </row>
    <row r="50" spans="3:18" x14ac:dyDescent="0.35">
      <c r="C50" t="s">
        <v>66</v>
      </c>
      <c r="D50" t="s">
        <v>57</v>
      </c>
      <c r="E50">
        <v>47</v>
      </c>
      <c r="F50">
        <v>5.984</v>
      </c>
      <c r="G50">
        <v>4.0980000000000003E-2</v>
      </c>
      <c r="J50">
        <v>1.24461</v>
      </c>
      <c r="K50">
        <v>0.95774000000000004</v>
      </c>
      <c r="M50">
        <v>0.96538000000000002</v>
      </c>
      <c r="N50">
        <v>0.33207999999999999</v>
      </c>
      <c r="O50">
        <v>7.8570000000000001E-2</v>
      </c>
      <c r="P50">
        <v>0.18557000000000001</v>
      </c>
      <c r="Q50">
        <v>2.2197800000000001</v>
      </c>
      <c r="R50">
        <v>2015</v>
      </c>
    </row>
    <row r="51" spans="3:18" x14ac:dyDescent="0.35">
      <c r="C51" t="s">
        <v>67</v>
      </c>
      <c r="D51" t="s">
        <v>28</v>
      </c>
      <c r="E51">
        <v>48</v>
      </c>
      <c r="F51">
        <v>5.9749999999999996</v>
      </c>
      <c r="G51">
        <v>4.5280000000000001E-2</v>
      </c>
      <c r="J51">
        <v>0.86402000000000001</v>
      </c>
      <c r="K51">
        <v>0.99902999999999997</v>
      </c>
      <c r="M51">
        <v>0.79074999999999995</v>
      </c>
      <c r="N51">
        <v>0.48574000000000001</v>
      </c>
      <c r="O51">
        <v>0.18090000000000001</v>
      </c>
      <c r="P51">
        <v>0.11541</v>
      </c>
      <c r="Q51">
        <v>2.5394199999999998</v>
      </c>
      <c r="R51">
        <v>2015</v>
      </c>
    </row>
    <row r="52" spans="3:18" x14ac:dyDescent="0.35">
      <c r="C52" t="s">
        <v>68</v>
      </c>
      <c r="D52" t="s">
        <v>26</v>
      </c>
      <c r="E52">
        <v>49</v>
      </c>
      <c r="F52">
        <v>5.96</v>
      </c>
      <c r="G52">
        <v>5.4120000000000001E-2</v>
      </c>
      <c r="J52">
        <v>1.32376</v>
      </c>
      <c r="K52">
        <v>1.21624</v>
      </c>
      <c r="M52">
        <v>0.74716000000000005</v>
      </c>
      <c r="N52">
        <v>0.45491999999999999</v>
      </c>
      <c r="O52">
        <v>0.30599999999999999</v>
      </c>
      <c r="P52">
        <v>0.17362</v>
      </c>
      <c r="Q52">
        <v>1.73797</v>
      </c>
      <c r="R52">
        <v>2015</v>
      </c>
    </row>
    <row r="53" spans="3:18" x14ac:dyDescent="0.35">
      <c r="C53" t="s">
        <v>69</v>
      </c>
      <c r="D53" t="s">
        <v>13</v>
      </c>
      <c r="E53">
        <v>50</v>
      </c>
      <c r="F53">
        <v>5.9480000000000004</v>
      </c>
      <c r="G53">
        <v>3.9140000000000001E-2</v>
      </c>
      <c r="J53">
        <v>1.2511399999999999</v>
      </c>
      <c r="K53">
        <v>1.19777</v>
      </c>
      <c r="M53">
        <v>0.95445999999999998</v>
      </c>
      <c r="N53">
        <v>0.26235999999999998</v>
      </c>
      <c r="O53">
        <v>2.9010000000000001E-2</v>
      </c>
      <c r="P53">
        <v>0.22822999999999999</v>
      </c>
      <c r="Q53">
        <v>2.0251800000000002</v>
      </c>
      <c r="R53">
        <v>2015</v>
      </c>
    </row>
    <row r="54" spans="3:18" x14ac:dyDescent="0.35">
      <c r="C54" t="s">
        <v>70</v>
      </c>
      <c r="D54" t="s">
        <v>28</v>
      </c>
      <c r="E54">
        <v>51</v>
      </c>
      <c r="F54">
        <v>5.89</v>
      </c>
      <c r="G54">
        <v>5.6419999999999998E-2</v>
      </c>
      <c r="J54">
        <v>0.68132999999999999</v>
      </c>
      <c r="K54">
        <v>0.97841</v>
      </c>
      <c r="M54">
        <v>0.53920000000000001</v>
      </c>
      <c r="N54">
        <v>0.57413999999999998</v>
      </c>
      <c r="O54">
        <v>8.7999999999999995E-2</v>
      </c>
      <c r="P54">
        <v>0.20535999999999999</v>
      </c>
      <c r="Q54">
        <v>2.82334</v>
      </c>
      <c r="R54">
        <v>2015</v>
      </c>
    </row>
    <row r="55" spans="3:18" x14ac:dyDescent="0.35">
      <c r="C55" t="s">
        <v>71</v>
      </c>
      <c r="D55" t="s">
        <v>49</v>
      </c>
      <c r="E55">
        <v>52</v>
      </c>
      <c r="F55">
        <v>5.8890000000000002</v>
      </c>
      <c r="G55">
        <v>3.7990000000000003E-2</v>
      </c>
      <c r="J55">
        <v>0.59448000000000001</v>
      </c>
      <c r="K55">
        <v>1.01528</v>
      </c>
      <c r="M55">
        <v>0.61826000000000003</v>
      </c>
      <c r="N55">
        <v>0.32818000000000003</v>
      </c>
      <c r="O55">
        <v>1.6150000000000001E-2</v>
      </c>
      <c r="P55">
        <v>0.20951</v>
      </c>
      <c r="Q55">
        <v>3.1071200000000001</v>
      </c>
      <c r="R55">
        <v>2015</v>
      </c>
    </row>
    <row r="56" spans="3:18" x14ac:dyDescent="0.35">
      <c r="C56" t="s">
        <v>72</v>
      </c>
      <c r="D56" t="s">
        <v>28</v>
      </c>
      <c r="E56">
        <v>53</v>
      </c>
      <c r="F56">
        <v>5.8780000000000001</v>
      </c>
      <c r="G56">
        <v>4.5629999999999997E-2</v>
      </c>
      <c r="J56">
        <v>0.75985000000000003</v>
      </c>
      <c r="K56">
        <v>1.30477</v>
      </c>
      <c r="M56">
        <v>0.66098000000000001</v>
      </c>
      <c r="N56">
        <v>0.53898999999999997</v>
      </c>
      <c r="O56">
        <v>8.2419999999999993E-2</v>
      </c>
      <c r="P56">
        <v>0.34239999999999998</v>
      </c>
      <c r="Q56">
        <v>2.1889599999999998</v>
      </c>
      <c r="R56">
        <v>2015</v>
      </c>
    </row>
    <row r="57" spans="3:18" x14ac:dyDescent="0.35">
      <c r="C57" t="s">
        <v>73</v>
      </c>
      <c r="D57" t="s">
        <v>49</v>
      </c>
      <c r="E57">
        <v>54</v>
      </c>
      <c r="F57">
        <v>5.8550000000000004</v>
      </c>
      <c r="G57">
        <v>4.1140000000000003E-2</v>
      </c>
      <c r="J57">
        <v>1.1225400000000001</v>
      </c>
      <c r="K57">
        <v>1.1224099999999999</v>
      </c>
      <c r="M57">
        <v>0.64368000000000003</v>
      </c>
      <c r="N57">
        <v>0.51649</v>
      </c>
      <c r="O57">
        <v>8.4540000000000004E-2</v>
      </c>
      <c r="P57">
        <v>0.11827</v>
      </c>
      <c r="Q57">
        <v>2.24729</v>
      </c>
      <c r="R57">
        <v>2015</v>
      </c>
    </row>
    <row r="58" spans="3:18" x14ac:dyDescent="0.35">
      <c r="C58" t="s">
        <v>74</v>
      </c>
      <c r="D58" t="s">
        <v>49</v>
      </c>
      <c r="E58">
        <v>55</v>
      </c>
      <c r="F58">
        <v>5.8479999999999999</v>
      </c>
      <c r="G58">
        <v>4.2509999999999999E-2</v>
      </c>
      <c r="J58">
        <v>1.1849799999999999</v>
      </c>
      <c r="K58">
        <v>1.2738499999999999</v>
      </c>
      <c r="M58">
        <v>0.87336999999999998</v>
      </c>
      <c r="N58">
        <v>0.60855000000000004</v>
      </c>
      <c r="O58">
        <v>3.7870000000000001E-2</v>
      </c>
      <c r="P58">
        <v>0.25328000000000001</v>
      </c>
      <c r="Q58">
        <v>1.6158300000000001</v>
      </c>
      <c r="R58">
        <v>2015</v>
      </c>
    </row>
    <row r="59" spans="3:18" x14ac:dyDescent="0.35">
      <c r="C59" t="s">
        <v>75</v>
      </c>
      <c r="D59" t="s">
        <v>49</v>
      </c>
      <c r="E59">
        <v>56</v>
      </c>
      <c r="F59">
        <v>5.8330000000000002</v>
      </c>
      <c r="G59">
        <v>3.8429999999999999E-2</v>
      </c>
      <c r="J59">
        <v>1.14723</v>
      </c>
      <c r="K59">
        <v>1.25745</v>
      </c>
      <c r="M59">
        <v>0.73128000000000004</v>
      </c>
      <c r="N59">
        <v>0.21342</v>
      </c>
      <c r="O59">
        <v>1.031E-2</v>
      </c>
      <c r="P59">
        <v>2.6409999999999999E-2</v>
      </c>
      <c r="Q59">
        <v>2.4464899999999998</v>
      </c>
      <c r="R59">
        <v>2015</v>
      </c>
    </row>
    <row r="60" spans="3:18" x14ac:dyDescent="0.35">
      <c r="C60" t="s">
        <v>76</v>
      </c>
      <c r="D60" t="s">
        <v>28</v>
      </c>
      <c r="E60">
        <v>57</v>
      </c>
      <c r="F60">
        <v>5.8280000000000003</v>
      </c>
      <c r="G60">
        <v>5.3710000000000001E-2</v>
      </c>
      <c r="J60">
        <v>0.59325000000000006</v>
      </c>
      <c r="K60">
        <v>1.14184</v>
      </c>
      <c r="M60">
        <v>0.74314000000000002</v>
      </c>
      <c r="N60">
        <v>0.55474999999999997</v>
      </c>
      <c r="O60">
        <v>0.19317000000000001</v>
      </c>
      <c r="P60">
        <v>0.27815000000000001</v>
      </c>
      <c r="Q60">
        <v>2.3240699999999999</v>
      </c>
      <c r="R60">
        <v>2015</v>
      </c>
    </row>
    <row r="61" spans="3:18" x14ac:dyDescent="0.35">
      <c r="C61" t="s">
        <v>77</v>
      </c>
      <c r="D61" t="s">
        <v>28</v>
      </c>
      <c r="E61">
        <v>58</v>
      </c>
      <c r="F61">
        <v>5.8239999999999998</v>
      </c>
      <c r="G61">
        <v>4.6149999999999997E-2</v>
      </c>
      <c r="J61">
        <v>0.90019000000000005</v>
      </c>
      <c r="K61">
        <v>0.97458999999999996</v>
      </c>
      <c r="M61">
        <v>0.73016999999999999</v>
      </c>
      <c r="N61">
        <v>0.41496</v>
      </c>
      <c r="O61">
        <v>5.9889999999999999E-2</v>
      </c>
      <c r="P61">
        <v>0.14982000000000001</v>
      </c>
      <c r="Q61">
        <v>2.5945</v>
      </c>
      <c r="R61">
        <v>2015</v>
      </c>
    </row>
    <row r="62" spans="3:18" x14ac:dyDescent="0.35">
      <c r="C62" t="s">
        <v>78</v>
      </c>
      <c r="D62" t="s">
        <v>49</v>
      </c>
      <c r="E62">
        <v>59</v>
      </c>
      <c r="F62">
        <v>5.8129999999999997</v>
      </c>
      <c r="G62">
        <v>3.9379999999999998E-2</v>
      </c>
      <c r="J62">
        <v>1.0319199999999999</v>
      </c>
      <c r="K62">
        <v>1.23289</v>
      </c>
      <c r="M62">
        <v>0.73607999999999996</v>
      </c>
      <c r="N62">
        <v>0.37938</v>
      </c>
      <c r="O62">
        <v>0.19089999999999999</v>
      </c>
      <c r="P62">
        <v>0.11046</v>
      </c>
      <c r="Q62">
        <v>2.1309</v>
      </c>
      <c r="R62">
        <v>2015</v>
      </c>
    </row>
    <row r="63" spans="3:18" x14ac:dyDescent="0.35">
      <c r="C63" t="s">
        <v>79</v>
      </c>
      <c r="D63" t="s">
        <v>49</v>
      </c>
      <c r="E63">
        <v>60</v>
      </c>
      <c r="F63">
        <v>5.7910000000000004</v>
      </c>
      <c r="G63">
        <v>4.2630000000000001E-2</v>
      </c>
      <c r="J63">
        <v>1.1255500000000001</v>
      </c>
      <c r="K63">
        <v>1.27948</v>
      </c>
      <c r="M63">
        <v>0.77903</v>
      </c>
      <c r="N63">
        <v>0.53122000000000003</v>
      </c>
      <c r="O63">
        <v>4.2119999999999998E-2</v>
      </c>
      <c r="P63">
        <v>0.16758999999999999</v>
      </c>
      <c r="Q63">
        <v>1.86565</v>
      </c>
      <c r="R63">
        <v>2015</v>
      </c>
    </row>
    <row r="64" spans="3:18" x14ac:dyDescent="0.35">
      <c r="C64" t="s">
        <v>80</v>
      </c>
      <c r="D64" t="s">
        <v>41</v>
      </c>
      <c r="E64">
        <v>61</v>
      </c>
      <c r="F64">
        <v>5.77</v>
      </c>
      <c r="G64">
        <v>4.3299999999999998E-2</v>
      </c>
      <c r="J64">
        <v>1.12486</v>
      </c>
      <c r="K64">
        <v>1.07023</v>
      </c>
      <c r="M64">
        <v>0.72394000000000003</v>
      </c>
      <c r="N64">
        <v>0.53024000000000004</v>
      </c>
      <c r="O64">
        <v>0.10501000000000001</v>
      </c>
      <c r="P64">
        <v>0.33074999999999999</v>
      </c>
      <c r="Q64">
        <v>1.88541</v>
      </c>
      <c r="R64">
        <v>2015</v>
      </c>
    </row>
    <row r="65" spans="3:18" x14ac:dyDescent="0.35">
      <c r="C65" t="s">
        <v>81</v>
      </c>
      <c r="D65" t="s">
        <v>49</v>
      </c>
      <c r="E65">
        <v>62</v>
      </c>
      <c r="F65">
        <v>5.7590000000000003</v>
      </c>
      <c r="G65">
        <v>4.394E-2</v>
      </c>
      <c r="J65">
        <v>1.0825400000000001</v>
      </c>
      <c r="K65">
        <v>0.79623999999999995</v>
      </c>
      <c r="M65">
        <v>0.78805000000000003</v>
      </c>
      <c r="N65">
        <v>0.25883</v>
      </c>
      <c r="O65">
        <v>2.4299999999999999E-2</v>
      </c>
      <c r="P65">
        <v>5.4440000000000002E-2</v>
      </c>
      <c r="Q65">
        <v>2.75414</v>
      </c>
      <c r="R65">
        <v>2015</v>
      </c>
    </row>
    <row r="66" spans="3:18" x14ac:dyDescent="0.35">
      <c r="C66" t="s">
        <v>82</v>
      </c>
      <c r="D66" t="s">
        <v>26</v>
      </c>
      <c r="E66">
        <v>63</v>
      </c>
      <c r="F66">
        <v>5.7539999999999996</v>
      </c>
      <c r="G66">
        <v>7.8320000000000001E-2</v>
      </c>
      <c r="J66">
        <v>1.1314500000000001</v>
      </c>
      <c r="K66">
        <v>1.1186199999999999</v>
      </c>
      <c r="M66">
        <v>0.70379999999999998</v>
      </c>
      <c r="N66">
        <v>0.41667999999999999</v>
      </c>
      <c r="O66">
        <v>0.11022999999999999</v>
      </c>
      <c r="P66">
        <v>0.18295</v>
      </c>
      <c r="Q66">
        <v>2.0906600000000002</v>
      </c>
      <c r="R66">
        <v>2015</v>
      </c>
    </row>
    <row r="67" spans="3:18" x14ac:dyDescent="0.35">
      <c r="C67" t="s">
        <v>83</v>
      </c>
      <c r="D67" t="s">
        <v>49</v>
      </c>
      <c r="E67">
        <v>64</v>
      </c>
      <c r="F67">
        <v>5.7160000000000002</v>
      </c>
      <c r="G67">
        <v>3.1350000000000003E-2</v>
      </c>
      <c r="J67">
        <v>1.13764</v>
      </c>
      <c r="K67">
        <v>1.23617</v>
      </c>
      <c r="M67">
        <v>0.66925999999999997</v>
      </c>
      <c r="N67">
        <v>0.36679</v>
      </c>
      <c r="O67">
        <v>3.005E-2</v>
      </c>
      <c r="P67">
        <v>1.99E-3</v>
      </c>
      <c r="Q67">
        <v>2.2739400000000001</v>
      </c>
      <c r="R67">
        <v>2015</v>
      </c>
    </row>
    <row r="68" spans="3:18" x14ac:dyDescent="0.35">
      <c r="C68" t="s">
        <v>84</v>
      </c>
      <c r="D68" t="s">
        <v>28</v>
      </c>
      <c r="E68">
        <v>65</v>
      </c>
      <c r="F68">
        <v>5.7089999999999996</v>
      </c>
      <c r="G68">
        <v>0.13693</v>
      </c>
      <c r="J68">
        <v>0.81037999999999999</v>
      </c>
      <c r="K68">
        <v>1.1510199999999999</v>
      </c>
      <c r="M68">
        <v>0.68740999999999997</v>
      </c>
      <c r="N68">
        <v>0.50441999999999998</v>
      </c>
      <c r="O68">
        <v>2.299E-2</v>
      </c>
      <c r="P68">
        <v>0.21229999999999999</v>
      </c>
      <c r="Q68">
        <v>2.3203800000000001</v>
      </c>
      <c r="R68">
        <v>2015</v>
      </c>
    </row>
    <row r="69" spans="3:18" x14ac:dyDescent="0.35">
      <c r="C69" t="s">
        <v>85</v>
      </c>
      <c r="D69" t="s">
        <v>13</v>
      </c>
      <c r="E69">
        <v>66</v>
      </c>
      <c r="F69">
        <v>5.6950000000000003</v>
      </c>
      <c r="G69">
        <v>5.6349999999999997E-2</v>
      </c>
      <c r="J69">
        <v>1.2080599999999999</v>
      </c>
      <c r="K69">
        <v>1.0700799999999999</v>
      </c>
      <c r="M69">
        <v>0.92356000000000005</v>
      </c>
      <c r="N69">
        <v>0.49026999999999998</v>
      </c>
      <c r="O69">
        <v>0.14280000000000001</v>
      </c>
      <c r="P69">
        <v>0.26168999999999998</v>
      </c>
      <c r="Q69">
        <v>1.5988800000000001</v>
      </c>
      <c r="R69">
        <v>2015</v>
      </c>
    </row>
    <row r="70" spans="3:18" x14ac:dyDescent="0.35">
      <c r="C70" t="s">
        <v>86</v>
      </c>
      <c r="D70" t="s">
        <v>13</v>
      </c>
      <c r="E70">
        <v>67</v>
      </c>
      <c r="F70">
        <v>5.6890000000000001</v>
      </c>
      <c r="G70">
        <v>5.5800000000000002E-2</v>
      </c>
      <c r="J70">
        <v>1.2081299999999999</v>
      </c>
      <c r="K70">
        <v>0.89317999999999997</v>
      </c>
      <c r="M70">
        <v>0.92356000000000005</v>
      </c>
      <c r="N70">
        <v>0.40672000000000003</v>
      </c>
      <c r="O70">
        <v>6.1460000000000001E-2</v>
      </c>
      <c r="P70">
        <v>0.30637999999999999</v>
      </c>
      <c r="Q70">
        <v>1.88931</v>
      </c>
      <c r="R70">
        <v>2015</v>
      </c>
    </row>
    <row r="71" spans="3:18" x14ac:dyDescent="0.35">
      <c r="C71" t="s">
        <v>87</v>
      </c>
      <c r="D71" t="s">
        <v>26</v>
      </c>
      <c r="E71">
        <v>68</v>
      </c>
      <c r="F71">
        <v>5.6050000000000004</v>
      </c>
      <c r="G71">
        <v>5.0990000000000001E-2</v>
      </c>
      <c r="J71">
        <v>0.93928999999999996</v>
      </c>
      <c r="K71">
        <v>1.07772</v>
      </c>
      <c r="M71">
        <v>0.61765999999999999</v>
      </c>
      <c r="N71">
        <v>0.28578999999999999</v>
      </c>
      <c r="O71">
        <v>0.17383000000000001</v>
      </c>
      <c r="P71">
        <v>7.8219999999999998E-2</v>
      </c>
      <c r="Q71">
        <v>2.4320900000000001</v>
      </c>
      <c r="R71">
        <v>2015</v>
      </c>
    </row>
    <row r="72" spans="3:18" x14ac:dyDescent="0.35">
      <c r="C72" t="s">
        <v>88</v>
      </c>
      <c r="D72" t="s">
        <v>49</v>
      </c>
      <c r="E72">
        <v>69</v>
      </c>
      <c r="F72">
        <v>5.5890000000000004</v>
      </c>
      <c r="G72">
        <v>5.0180000000000002E-2</v>
      </c>
      <c r="J72">
        <v>0.80147999999999997</v>
      </c>
      <c r="K72">
        <v>0.81198000000000004</v>
      </c>
      <c r="M72">
        <v>0.63131999999999999</v>
      </c>
      <c r="N72">
        <v>0.24748999999999999</v>
      </c>
      <c r="O72">
        <v>4.7410000000000001E-2</v>
      </c>
      <c r="P72">
        <v>0.28310000000000002</v>
      </c>
      <c r="Q72">
        <v>2.76579</v>
      </c>
      <c r="R72">
        <v>2015</v>
      </c>
    </row>
    <row r="73" spans="3:18" x14ac:dyDescent="0.35">
      <c r="C73" t="s">
        <v>89</v>
      </c>
      <c r="D73" t="s">
        <v>49</v>
      </c>
      <c r="E73">
        <v>70</v>
      </c>
      <c r="F73">
        <v>5.548</v>
      </c>
      <c r="G73">
        <v>4.1750000000000002E-2</v>
      </c>
      <c r="J73">
        <v>0.95847000000000004</v>
      </c>
      <c r="K73">
        <v>1.22668</v>
      </c>
      <c r="M73">
        <v>0.53886000000000001</v>
      </c>
      <c r="N73">
        <v>0.47610000000000002</v>
      </c>
      <c r="O73">
        <v>0.30843999999999999</v>
      </c>
      <c r="P73">
        <v>0.16979</v>
      </c>
      <c r="Q73">
        <v>1.8698399999999999</v>
      </c>
      <c r="R73">
        <v>2015</v>
      </c>
    </row>
    <row r="74" spans="3:18" x14ac:dyDescent="0.35">
      <c r="C74" t="s">
        <v>90</v>
      </c>
      <c r="D74" t="s">
        <v>91</v>
      </c>
      <c r="E74">
        <v>71</v>
      </c>
      <c r="F74">
        <v>5.4770000000000003</v>
      </c>
      <c r="G74">
        <v>7.1970000000000006E-2</v>
      </c>
      <c r="J74">
        <v>1.0076099999999999</v>
      </c>
      <c r="K74">
        <v>0.98521000000000003</v>
      </c>
      <c r="M74">
        <v>0.70950000000000002</v>
      </c>
      <c r="N74">
        <v>0.56066000000000005</v>
      </c>
      <c r="O74">
        <v>7.5209999999999999E-2</v>
      </c>
      <c r="P74">
        <v>0.37744</v>
      </c>
      <c r="Q74">
        <v>1.76145</v>
      </c>
      <c r="R74">
        <v>2015</v>
      </c>
    </row>
    <row r="75" spans="3:18" x14ac:dyDescent="0.35">
      <c r="C75" t="s">
        <v>92</v>
      </c>
      <c r="D75" t="s">
        <v>57</v>
      </c>
      <c r="E75">
        <v>72</v>
      </c>
      <c r="F75">
        <v>5.4740000000000002</v>
      </c>
      <c r="G75">
        <v>5.0509999999999999E-2</v>
      </c>
      <c r="J75">
        <v>1.3860399999999999</v>
      </c>
      <c r="K75">
        <v>1.0581799999999999</v>
      </c>
      <c r="M75">
        <v>1.01328</v>
      </c>
      <c r="N75">
        <v>0.59608000000000005</v>
      </c>
      <c r="O75">
        <v>0.37124000000000001</v>
      </c>
      <c r="P75">
        <v>0.39478000000000002</v>
      </c>
      <c r="Q75">
        <v>0.65429000000000004</v>
      </c>
      <c r="R75">
        <v>2015</v>
      </c>
    </row>
    <row r="76" spans="3:18" x14ac:dyDescent="0.35">
      <c r="C76" t="s">
        <v>93</v>
      </c>
      <c r="D76" t="s">
        <v>49</v>
      </c>
      <c r="E76">
        <v>73</v>
      </c>
      <c r="F76">
        <v>5.4290000000000003</v>
      </c>
      <c r="G76">
        <v>4.0129999999999999E-2</v>
      </c>
      <c r="J76">
        <v>1.15174</v>
      </c>
      <c r="K76">
        <v>1.2279100000000001</v>
      </c>
      <c r="M76">
        <v>0.77361000000000002</v>
      </c>
      <c r="N76">
        <v>0.44888</v>
      </c>
      <c r="O76">
        <v>0.15184</v>
      </c>
      <c r="P76">
        <v>8.6800000000000002E-2</v>
      </c>
      <c r="Q76">
        <v>1.58782</v>
      </c>
      <c r="R76">
        <v>2015</v>
      </c>
    </row>
    <row r="77" spans="3:18" x14ac:dyDescent="0.35">
      <c r="C77" t="s">
        <v>94</v>
      </c>
      <c r="D77" t="s">
        <v>41</v>
      </c>
      <c r="E77">
        <v>74</v>
      </c>
      <c r="F77">
        <v>5.399</v>
      </c>
      <c r="G77">
        <v>2.596E-2</v>
      </c>
      <c r="J77">
        <v>0.82826999999999995</v>
      </c>
      <c r="K77">
        <v>1.08708</v>
      </c>
      <c r="M77">
        <v>0.63793</v>
      </c>
      <c r="N77">
        <v>0.46611000000000002</v>
      </c>
      <c r="O77">
        <v>0</v>
      </c>
      <c r="P77">
        <v>0.51534999999999997</v>
      </c>
      <c r="Q77">
        <v>1.86399</v>
      </c>
      <c r="R77">
        <v>2015</v>
      </c>
    </row>
    <row r="78" spans="3:18" x14ac:dyDescent="0.35">
      <c r="C78" t="s">
        <v>95</v>
      </c>
      <c r="D78" t="s">
        <v>41</v>
      </c>
      <c r="E78">
        <v>75</v>
      </c>
      <c r="F78">
        <v>5.36</v>
      </c>
      <c r="G78">
        <v>3.107E-2</v>
      </c>
      <c r="J78">
        <v>0.63216000000000006</v>
      </c>
      <c r="K78">
        <v>0.91225999999999996</v>
      </c>
      <c r="M78">
        <v>0.74675999999999998</v>
      </c>
      <c r="N78">
        <v>0.59443999999999997</v>
      </c>
      <c r="O78">
        <v>0.10441</v>
      </c>
      <c r="P78">
        <v>0.1686</v>
      </c>
      <c r="Q78">
        <v>2.20173</v>
      </c>
      <c r="R78">
        <v>2015</v>
      </c>
    </row>
    <row r="79" spans="3:18" x14ac:dyDescent="0.35">
      <c r="C79" t="s">
        <v>96</v>
      </c>
      <c r="D79" t="s">
        <v>26</v>
      </c>
      <c r="E79">
        <v>76</v>
      </c>
      <c r="F79">
        <v>5.3319999999999999</v>
      </c>
      <c r="G79">
        <v>3.8640000000000001E-2</v>
      </c>
      <c r="J79">
        <v>1.06098</v>
      </c>
      <c r="K79">
        <v>0.94632000000000005</v>
      </c>
      <c r="M79">
        <v>0.73172000000000004</v>
      </c>
      <c r="N79">
        <v>0.22814999999999999</v>
      </c>
      <c r="O79">
        <v>0.15745999999999999</v>
      </c>
      <c r="P79">
        <v>0.12253</v>
      </c>
      <c r="Q79">
        <v>2.08528</v>
      </c>
      <c r="R79">
        <v>2015</v>
      </c>
    </row>
    <row r="80" spans="3:18" x14ac:dyDescent="0.35">
      <c r="C80" t="s">
        <v>97</v>
      </c>
      <c r="D80" t="s">
        <v>49</v>
      </c>
      <c r="E80">
        <v>77</v>
      </c>
      <c r="F80">
        <v>5.2859999999999996</v>
      </c>
      <c r="G80">
        <v>3.823E-2</v>
      </c>
      <c r="J80">
        <v>0.47427999999999998</v>
      </c>
      <c r="K80">
        <v>1.1511499999999999</v>
      </c>
      <c r="M80">
        <v>0.65088000000000001</v>
      </c>
      <c r="N80">
        <v>0.43476999999999999</v>
      </c>
      <c r="O80">
        <v>4.2320000000000003E-2</v>
      </c>
      <c r="P80">
        <v>0.30030000000000001</v>
      </c>
      <c r="Q80">
        <v>2.2326999999999999</v>
      </c>
      <c r="R80">
        <v>2015</v>
      </c>
    </row>
    <row r="81" spans="3:18" x14ac:dyDescent="0.35">
      <c r="C81" t="s">
        <v>98</v>
      </c>
      <c r="D81" t="s">
        <v>91</v>
      </c>
      <c r="E81">
        <v>78</v>
      </c>
      <c r="F81">
        <v>5.2679999999999998</v>
      </c>
      <c r="G81">
        <v>4.1919999999999999E-2</v>
      </c>
      <c r="J81">
        <v>0.65434999999999999</v>
      </c>
      <c r="K81">
        <v>0.90432000000000001</v>
      </c>
      <c r="M81">
        <v>0.16006999999999999</v>
      </c>
      <c r="N81">
        <v>0.34333999999999998</v>
      </c>
      <c r="O81">
        <v>4.0300000000000002E-2</v>
      </c>
      <c r="P81">
        <v>0.27233000000000002</v>
      </c>
      <c r="Q81">
        <v>2.8931900000000002</v>
      </c>
      <c r="R81">
        <v>2015</v>
      </c>
    </row>
    <row r="82" spans="3:18" x14ac:dyDescent="0.35">
      <c r="C82" t="s">
        <v>99</v>
      </c>
      <c r="D82" t="s">
        <v>100</v>
      </c>
      <c r="E82">
        <v>79</v>
      </c>
      <c r="F82">
        <v>5.2530000000000001</v>
      </c>
      <c r="G82">
        <v>3.2250000000000001E-2</v>
      </c>
      <c r="J82">
        <v>0.77041999999999999</v>
      </c>
      <c r="K82">
        <v>1.10395</v>
      </c>
      <c r="M82">
        <v>0.57406999999999997</v>
      </c>
      <c r="N82">
        <v>0.53205999999999998</v>
      </c>
      <c r="O82">
        <v>0.15445</v>
      </c>
      <c r="P82">
        <v>0.47998000000000002</v>
      </c>
      <c r="Q82">
        <v>1.63794</v>
      </c>
      <c r="R82">
        <v>2015</v>
      </c>
    </row>
    <row r="83" spans="3:18" x14ac:dyDescent="0.35">
      <c r="C83" t="s">
        <v>101</v>
      </c>
      <c r="D83" t="s">
        <v>49</v>
      </c>
      <c r="E83">
        <v>80</v>
      </c>
      <c r="F83">
        <v>5.2119999999999997</v>
      </c>
      <c r="G83">
        <v>3.363E-2</v>
      </c>
      <c r="J83">
        <v>1.02389</v>
      </c>
      <c r="K83">
        <v>0.93793000000000004</v>
      </c>
      <c r="M83">
        <v>0.64044999999999996</v>
      </c>
      <c r="N83">
        <v>0.37030000000000002</v>
      </c>
      <c r="O83">
        <v>0.16064999999999999</v>
      </c>
      <c r="P83">
        <v>7.7990000000000004E-2</v>
      </c>
      <c r="Q83">
        <v>2.0007299999999999</v>
      </c>
      <c r="R83">
        <v>2015</v>
      </c>
    </row>
    <row r="84" spans="3:18" x14ac:dyDescent="0.35">
      <c r="C84" t="s">
        <v>102</v>
      </c>
      <c r="D84" t="s">
        <v>100</v>
      </c>
      <c r="E84">
        <v>81</v>
      </c>
      <c r="F84">
        <v>5.194</v>
      </c>
      <c r="G84">
        <v>3.7260000000000001E-2</v>
      </c>
      <c r="J84">
        <v>0.59543000000000001</v>
      </c>
      <c r="K84">
        <v>0.41410999999999998</v>
      </c>
      <c r="M84">
        <v>0.51466000000000001</v>
      </c>
      <c r="N84">
        <v>0.12102</v>
      </c>
      <c r="O84">
        <v>0.10464</v>
      </c>
      <c r="P84">
        <v>0.33671000000000001</v>
      </c>
      <c r="Q84">
        <v>3.1070899999999999</v>
      </c>
      <c r="R84">
        <v>2015</v>
      </c>
    </row>
    <row r="85" spans="3:18" x14ac:dyDescent="0.35">
      <c r="C85" t="s">
        <v>103</v>
      </c>
      <c r="D85" t="s">
        <v>26</v>
      </c>
      <c r="E85">
        <v>82</v>
      </c>
      <c r="F85">
        <v>5.1920000000000002</v>
      </c>
      <c r="G85">
        <v>4.5240000000000002E-2</v>
      </c>
      <c r="J85">
        <v>0.90198</v>
      </c>
      <c r="K85">
        <v>1.05392</v>
      </c>
      <c r="M85">
        <v>0.69638999999999995</v>
      </c>
      <c r="N85">
        <v>0.40661000000000003</v>
      </c>
      <c r="O85">
        <v>0.14293</v>
      </c>
      <c r="P85">
        <v>0.11053</v>
      </c>
      <c r="Q85">
        <v>1.8799600000000001</v>
      </c>
      <c r="R85">
        <v>2015</v>
      </c>
    </row>
    <row r="86" spans="3:18" x14ac:dyDescent="0.35">
      <c r="C86" t="s">
        <v>104</v>
      </c>
      <c r="D86" t="s">
        <v>49</v>
      </c>
      <c r="E86">
        <v>82</v>
      </c>
      <c r="F86">
        <v>5.1920000000000002</v>
      </c>
      <c r="G86">
        <v>5.2350000000000001E-2</v>
      </c>
      <c r="J86">
        <v>0.97438000000000002</v>
      </c>
      <c r="K86">
        <v>0.90556999999999999</v>
      </c>
      <c r="M86">
        <v>0.72521000000000002</v>
      </c>
      <c r="N86">
        <v>0.18260000000000001</v>
      </c>
      <c r="O86">
        <v>0.14296</v>
      </c>
      <c r="P86">
        <v>0.16139999999999999</v>
      </c>
      <c r="Q86">
        <v>2.1001699999999999</v>
      </c>
      <c r="R86">
        <v>2015</v>
      </c>
    </row>
    <row r="87" spans="3:18" x14ac:dyDescent="0.35">
      <c r="C87" t="s">
        <v>105</v>
      </c>
      <c r="D87" t="s">
        <v>57</v>
      </c>
      <c r="E87">
        <v>84</v>
      </c>
      <c r="F87">
        <v>5.14</v>
      </c>
      <c r="G87">
        <v>2.4240000000000001E-2</v>
      </c>
      <c r="J87">
        <v>0.89012000000000002</v>
      </c>
      <c r="K87">
        <v>0.94674999999999998</v>
      </c>
      <c r="M87">
        <v>0.81657999999999997</v>
      </c>
      <c r="N87">
        <v>0.51697000000000004</v>
      </c>
      <c r="O87">
        <v>2.7810000000000001E-2</v>
      </c>
      <c r="P87">
        <v>8.1850000000000006E-2</v>
      </c>
      <c r="Q87">
        <v>1.8604000000000001</v>
      </c>
      <c r="R87">
        <v>2015</v>
      </c>
    </row>
    <row r="88" spans="3:18" x14ac:dyDescent="0.35">
      <c r="C88" t="s">
        <v>106</v>
      </c>
      <c r="D88" t="s">
        <v>91</v>
      </c>
      <c r="E88">
        <v>85</v>
      </c>
      <c r="F88">
        <v>5.1289999999999996</v>
      </c>
      <c r="G88">
        <v>6.9879999999999998E-2</v>
      </c>
      <c r="J88">
        <v>0.47038000000000002</v>
      </c>
      <c r="K88">
        <v>0.91612000000000005</v>
      </c>
      <c r="M88">
        <v>0.29924000000000001</v>
      </c>
      <c r="N88">
        <v>0.48826999999999998</v>
      </c>
      <c r="O88">
        <v>0.12468</v>
      </c>
      <c r="P88">
        <v>0.19591</v>
      </c>
      <c r="Q88">
        <v>2.6343000000000001</v>
      </c>
      <c r="R88">
        <v>2015</v>
      </c>
    </row>
    <row r="89" spans="3:18" x14ac:dyDescent="0.35">
      <c r="C89" t="s">
        <v>107</v>
      </c>
      <c r="D89" t="s">
        <v>49</v>
      </c>
      <c r="E89">
        <v>86</v>
      </c>
      <c r="F89">
        <v>5.1239999999999997</v>
      </c>
      <c r="G89">
        <v>6.6070000000000004E-2</v>
      </c>
      <c r="J89">
        <v>1.04345</v>
      </c>
      <c r="K89">
        <v>0.88588</v>
      </c>
      <c r="M89">
        <v>0.76890000000000003</v>
      </c>
      <c r="N89">
        <v>0.35067999999999999</v>
      </c>
      <c r="O89">
        <v>6.4900000000000001E-3</v>
      </c>
      <c r="P89">
        <v>0.13747999999999999</v>
      </c>
      <c r="Q89">
        <v>1.93129</v>
      </c>
      <c r="R89">
        <v>2015</v>
      </c>
    </row>
    <row r="90" spans="3:18" x14ac:dyDescent="0.35">
      <c r="C90" t="s">
        <v>108</v>
      </c>
      <c r="D90" t="s">
        <v>49</v>
      </c>
      <c r="E90">
        <v>87</v>
      </c>
      <c r="F90">
        <v>5.1230000000000002</v>
      </c>
      <c r="G90">
        <v>4.8640000000000003E-2</v>
      </c>
      <c r="J90">
        <v>0.92052999999999996</v>
      </c>
      <c r="K90">
        <v>1.0096400000000001</v>
      </c>
      <c r="M90">
        <v>0.74836000000000003</v>
      </c>
      <c r="N90">
        <v>0.20107</v>
      </c>
      <c r="O90">
        <v>2.6169999999999999E-2</v>
      </c>
      <c r="P90">
        <v>0.19231000000000001</v>
      </c>
      <c r="Q90">
        <v>2.0249999999999999</v>
      </c>
      <c r="R90">
        <v>2015</v>
      </c>
    </row>
    <row r="91" spans="3:18" x14ac:dyDescent="0.35">
      <c r="C91" t="s">
        <v>109</v>
      </c>
      <c r="D91" t="s">
        <v>13</v>
      </c>
      <c r="E91">
        <v>88</v>
      </c>
      <c r="F91">
        <v>5.1020000000000003</v>
      </c>
      <c r="G91">
        <v>4.802E-2</v>
      </c>
      <c r="J91">
        <v>1.15991</v>
      </c>
      <c r="K91">
        <v>1.1393500000000001</v>
      </c>
      <c r="M91">
        <v>0.87519000000000002</v>
      </c>
      <c r="N91">
        <v>0.51468999999999998</v>
      </c>
      <c r="O91">
        <v>1.078E-2</v>
      </c>
      <c r="P91">
        <v>0.13719000000000001</v>
      </c>
      <c r="Q91">
        <v>1.2646200000000001</v>
      </c>
      <c r="R91">
        <v>2015</v>
      </c>
    </row>
    <row r="92" spans="3:18" x14ac:dyDescent="0.35">
      <c r="C92" t="s">
        <v>110</v>
      </c>
      <c r="D92" t="s">
        <v>49</v>
      </c>
      <c r="E92">
        <v>89</v>
      </c>
      <c r="F92">
        <v>5.0979999999999999</v>
      </c>
      <c r="G92">
        <v>4.6399999999999997E-2</v>
      </c>
      <c r="J92">
        <v>1.1131200000000001</v>
      </c>
      <c r="K92">
        <v>1.09562</v>
      </c>
      <c r="M92">
        <v>0.72436999999999996</v>
      </c>
      <c r="N92">
        <v>0.29670999999999997</v>
      </c>
      <c r="O92">
        <v>6.3320000000000001E-2</v>
      </c>
      <c r="P92">
        <v>0.18226000000000001</v>
      </c>
      <c r="Q92">
        <v>1.62215</v>
      </c>
      <c r="R92">
        <v>2015</v>
      </c>
    </row>
    <row r="93" spans="3:18" x14ac:dyDescent="0.35">
      <c r="C93" t="s">
        <v>111</v>
      </c>
      <c r="D93" t="s">
        <v>41</v>
      </c>
      <c r="E93">
        <v>90</v>
      </c>
      <c r="F93">
        <v>5.0730000000000004</v>
      </c>
      <c r="G93">
        <v>4.9340000000000002E-2</v>
      </c>
      <c r="J93">
        <v>0.70531999999999995</v>
      </c>
      <c r="K93">
        <v>1.0351600000000001</v>
      </c>
      <c r="M93">
        <v>0.58113999999999999</v>
      </c>
      <c r="N93">
        <v>0.62544999999999995</v>
      </c>
      <c r="O93">
        <v>0.12279</v>
      </c>
      <c r="P93">
        <v>0.24990999999999999</v>
      </c>
      <c r="Q93">
        <v>1.7536</v>
      </c>
      <c r="R93">
        <v>2015</v>
      </c>
    </row>
    <row r="94" spans="3:18" x14ac:dyDescent="0.35">
      <c r="C94" t="s">
        <v>112</v>
      </c>
      <c r="D94" t="s">
        <v>91</v>
      </c>
      <c r="E94">
        <v>91</v>
      </c>
      <c r="F94">
        <v>5.0570000000000004</v>
      </c>
      <c r="G94">
        <v>6.1609999999999998E-2</v>
      </c>
      <c r="J94">
        <v>0.18847</v>
      </c>
      <c r="K94">
        <v>0.95152000000000003</v>
      </c>
      <c r="M94">
        <v>0.43873000000000001</v>
      </c>
      <c r="N94">
        <v>0.46582000000000001</v>
      </c>
      <c r="O94">
        <v>0.39928000000000002</v>
      </c>
      <c r="P94">
        <v>0.50317999999999996</v>
      </c>
      <c r="Q94">
        <v>2.1103200000000002</v>
      </c>
      <c r="R94">
        <v>2015</v>
      </c>
    </row>
    <row r="95" spans="3:18" x14ac:dyDescent="0.35">
      <c r="C95" t="s">
        <v>113</v>
      </c>
      <c r="D95" t="s">
        <v>26</v>
      </c>
      <c r="E95">
        <v>92</v>
      </c>
      <c r="F95">
        <v>5.0129999999999999</v>
      </c>
      <c r="G95">
        <v>3.4200000000000001E-2</v>
      </c>
      <c r="J95">
        <v>0.73479000000000005</v>
      </c>
      <c r="K95">
        <v>0.64095000000000002</v>
      </c>
      <c r="M95">
        <v>0.60953999999999997</v>
      </c>
      <c r="N95">
        <v>0.41691</v>
      </c>
      <c r="O95">
        <v>8.5459999999999994E-2</v>
      </c>
      <c r="P95">
        <v>7.1720000000000006E-2</v>
      </c>
      <c r="Q95">
        <v>2.4537300000000002</v>
      </c>
      <c r="R95">
        <v>2015</v>
      </c>
    </row>
    <row r="96" spans="3:18" x14ac:dyDescent="0.35">
      <c r="C96" t="s">
        <v>114</v>
      </c>
      <c r="D96" t="s">
        <v>49</v>
      </c>
      <c r="E96">
        <v>93</v>
      </c>
      <c r="F96">
        <v>5.0069999999999997</v>
      </c>
      <c r="G96">
        <v>5.3760000000000002E-2</v>
      </c>
      <c r="J96">
        <v>0.91851000000000005</v>
      </c>
      <c r="K96">
        <v>1.0023200000000001</v>
      </c>
      <c r="M96">
        <v>0.73545000000000005</v>
      </c>
      <c r="N96">
        <v>0.33456999999999998</v>
      </c>
      <c r="O96">
        <v>5.3269999999999998E-2</v>
      </c>
      <c r="P96">
        <v>0.22359000000000001</v>
      </c>
      <c r="Q96">
        <v>1.73933</v>
      </c>
      <c r="R96">
        <v>2015</v>
      </c>
    </row>
    <row r="97" spans="3:18" x14ac:dyDescent="0.35">
      <c r="C97" t="s">
        <v>115</v>
      </c>
      <c r="D97" t="s">
        <v>91</v>
      </c>
      <c r="E97">
        <v>94</v>
      </c>
      <c r="F97">
        <v>4.9710000000000001</v>
      </c>
      <c r="G97">
        <v>7.8960000000000002E-2</v>
      </c>
      <c r="J97">
        <v>8.3080000000000001E-2</v>
      </c>
      <c r="K97">
        <v>1.02626</v>
      </c>
      <c r="M97">
        <v>9.1310000000000002E-2</v>
      </c>
      <c r="N97">
        <v>0.34037000000000001</v>
      </c>
      <c r="O97">
        <v>0.15603</v>
      </c>
      <c r="P97">
        <v>0.22269</v>
      </c>
      <c r="Q97">
        <v>3.0513699999999999</v>
      </c>
      <c r="R97">
        <v>2015</v>
      </c>
    </row>
    <row r="98" spans="3:18" x14ac:dyDescent="0.35">
      <c r="C98" t="s">
        <v>116</v>
      </c>
      <c r="D98" t="s">
        <v>49</v>
      </c>
      <c r="E98">
        <v>95</v>
      </c>
      <c r="F98">
        <v>4.9589999999999996</v>
      </c>
      <c r="G98">
        <v>5.0130000000000001E-2</v>
      </c>
      <c r="J98">
        <v>0.87866999999999995</v>
      </c>
      <c r="K98">
        <v>0.80434000000000005</v>
      </c>
      <c r="M98">
        <v>0.81325000000000003</v>
      </c>
      <c r="N98">
        <v>0.35732999999999998</v>
      </c>
      <c r="O98">
        <v>6.4130000000000006E-2</v>
      </c>
      <c r="P98">
        <v>0.14272000000000001</v>
      </c>
      <c r="Q98">
        <v>1.8989400000000001</v>
      </c>
      <c r="R98">
        <v>2015</v>
      </c>
    </row>
    <row r="99" spans="3:18" x14ac:dyDescent="0.35">
      <c r="C99" t="s">
        <v>117</v>
      </c>
      <c r="D99" t="s">
        <v>49</v>
      </c>
      <c r="E99">
        <v>96</v>
      </c>
      <c r="F99">
        <v>4.9489999999999998</v>
      </c>
      <c r="G99">
        <v>6.9129999999999997E-2</v>
      </c>
      <c r="J99">
        <v>0.83223000000000003</v>
      </c>
      <c r="K99">
        <v>0.91915999999999998</v>
      </c>
      <c r="M99">
        <v>0.79081000000000001</v>
      </c>
      <c r="N99">
        <v>9.2450000000000004E-2</v>
      </c>
      <c r="O99">
        <v>2.2699999999999999E-3</v>
      </c>
      <c r="P99">
        <v>0.24807999999999999</v>
      </c>
      <c r="Q99">
        <v>2.0636700000000001</v>
      </c>
      <c r="R99">
        <v>2015</v>
      </c>
    </row>
    <row r="100" spans="3:18" x14ac:dyDescent="0.35">
      <c r="C100" t="s">
        <v>118</v>
      </c>
      <c r="D100" t="s">
        <v>91</v>
      </c>
      <c r="E100">
        <v>97</v>
      </c>
      <c r="F100">
        <v>4.8979999999999997</v>
      </c>
      <c r="G100">
        <v>9.4380000000000006E-2</v>
      </c>
      <c r="J100">
        <v>0.37545000000000001</v>
      </c>
      <c r="K100">
        <v>1.0410299999999999</v>
      </c>
      <c r="M100">
        <v>7.6119999999999993E-2</v>
      </c>
      <c r="N100">
        <v>0.31767000000000001</v>
      </c>
      <c r="O100">
        <v>0.12504000000000001</v>
      </c>
      <c r="P100">
        <v>0.16388</v>
      </c>
      <c r="Q100">
        <v>2.7983199999999999</v>
      </c>
      <c r="R100">
        <v>2015</v>
      </c>
    </row>
    <row r="101" spans="3:18" x14ac:dyDescent="0.35">
      <c r="C101" t="s">
        <v>119</v>
      </c>
      <c r="D101" t="s">
        <v>28</v>
      </c>
      <c r="E101">
        <v>98</v>
      </c>
      <c r="F101">
        <v>4.8849999999999998</v>
      </c>
      <c r="G101">
        <v>7.4459999999999998E-2</v>
      </c>
      <c r="J101">
        <v>0.89537</v>
      </c>
      <c r="K101">
        <v>1.1720200000000001</v>
      </c>
      <c r="M101">
        <v>0.66825000000000001</v>
      </c>
      <c r="N101">
        <v>0.57672000000000001</v>
      </c>
      <c r="O101">
        <v>0.14233999999999999</v>
      </c>
      <c r="P101">
        <v>0.21684</v>
      </c>
      <c r="Q101">
        <v>1.21305</v>
      </c>
      <c r="R101">
        <v>2015</v>
      </c>
    </row>
    <row r="102" spans="3:18" x14ac:dyDescent="0.35">
      <c r="C102" t="s">
        <v>120</v>
      </c>
      <c r="D102" t="s">
        <v>41</v>
      </c>
      <c r="E102">
        <v>99</v>
      </c>
      <c r="F102">
        <v>4.8760000000000003</v>
      </c>
      <c r="G102">
        <v>6.6979999999999998E-2</v>
      </c>
      <c r="J102">
        <v>0.59065999999999996</v>
      </c>
      <c r="K102">
        <v>0.73802999999999996</v>
      </c>
      <c r="M102">
        <v>0.54908999999999997</v>
      </c>
      <c r="N102">
        <v>0.59591000000000005</v>
      </c>
      <c r="O102">
        <v>0.24249000000000001</v>
      </c>
      <c r="P102">
        <v>0.42192000000000002</v>
      </c>
      <c r="Q102">
        <v>1.7379899999999999</v>
      </c>
      <c r="R102">
        <v>2015</v>
      </c>
    </row>
    <row r="103" spans="3:18" x14ac:dyDescent="0.35">
      <c r="C103" t="s">
        <v>121</v>
      </c>
      <c r="D103" t="s">
        <v>57</v>
      </c>
      <c r="E103">
        <v>100</v>
      </c>
      <c r="F103">
        <v>4.8739999999999997</v>
      </c>
      <c r="G103">
        <v>3.313E-2</v>
      </c>
      <c r="J103">
        <v>0.82818999999999998</v>
      </c>
      <c r="K103">
        <v>1.3006</v>
      </c>
      <c r="M103">
        <v>0.60267999999999999</v>
      </c>
      <c r="N103">
        <v>0.43625999999999998</v>
      </c>
      <c r="O103">
        <v>2.666E-2</v>
      </c>
      <c r="P103">
        <v>0.33229999999999998</v>
      </c>
      <c r="Q103">
        <v>1.3475900000000001</v>
      </c>
      <c r="R103">
        <v>2015</v>
      </c>
    </row>
    <row r="104" spans="3:18" x14ac:dyDescent="0.35">
      <c r="C104" t="s">
        <v>122</v>
      </c>
      <c r="D104" t="s">
        <v>91</v>
      </c>
      <c r="E104">
        <v>101</v>
      </c>
      <c r="F104">
        <v>4.867</v>
      </c>
      <c r="G104">
        <v>8.7419999999999998E-2</v>
      </c>
      <c r="J104">
        <v>0.71206000000000003</v>
      </c>
      <c r="K104">
        <v>1.07284</v>
      </c>
      <c r="M104">
        <v>7.5660000000000005E-2</v>
      </c>
      <c r="N104">
        <v>0.30658000000000002</v>
      </c>
      <c r="O104">
        <v>3.0599999999999999E-2</v>
      </c>
      <c r="P104">
        <v>0.18259</v>
      </c>
      <c r="Q104">
        <v>2.4867599999999999</v>
      </c>
      <c r="R104">
        <v>2015</v>
      </c>
    </row>
    <row r="105" spans="3:18" x14ac:dyDescent="0.35">
      <c r="C105" t="s">
        <v>123</v>
      </c>
      <c r="D105" t="s">
        <v>13</v>
      </c>
      <c r="E105">
        <v>102</v>
      </c>
      <c r="F105">
        <v>4.8570000000000002</v>
      </c>
      <c r="G105">
        <v>5.0619999999999998E-2</v>
      </c>
      <c r="J105">
        <v>1.1540600000000001</v>
      </c>
      <c r="K105">
        <v>0.92932999999999999</v>
      </c>
      <c r="M105">
        <v>0.88212999999999997</v>
      </c>
      <c r="N105">
        <v>7.6990000000000003E-2</v>
      </c>
      <c r="O105">
        <v>1.397E-2</v>
      </c>
      <c r="P105">
        <v>0</v>
      </c>
      <c r="Q105">
        <v>1.80101</v>
      </c>
      <c r="R105">
        <v>2015</v>
      </c>
    </row>
    <row r="106" spans="3:18" x14ac:dyDescent="0.35">
      <c r="C106" t="s">
        <v>124</v>
      </c>
      <c r="D106" t="s">
        <v>26</v>
      </c>
      <c r="E106">
        <v>103</v>
      </c>
      <c r="F106">
        <v>4.8390000000000004</v>
      </c>
      <c r="G106">
        <v>4.3369999999999999E-2</v>
      </c>
      <c r="J106">
        <v>1.0256400000000001</v>
      </c>
      <c r="K106">
        <v>0.80001</v>
      </c>
      <c r="M106">
        <v>0.83947000000000005</v>
      </c>
      <c r="N106">
        <v>0.33916000000000002</v>
      </c>
      <c r="O106">
        <v>4.582E-2</v>
      </c>
      <c r="P106">
        <v>0.21854000000000001</v>
      </c>
      <c r="Q106">
        <v>1.5705899999999999</v>
      </c>
      <c r="R106">
        <v>2015</v>
      </c>
    </row>
    <row r="107" spans="3:18" x14ac:dyDescent="0.35">
      <c r="C107" t="s">
        <v>125</v>
      </c>
      <c r="D107" t="s">
        <v>49</v>
      </c>
      <c r="E107">
        <v>104</v>
      </c>
      <c r="F107">
        <v>4.8</v>
      </c>
      <c r="G107">
        <v>6.1069999999999999E-2</v>
      </c>
      <c r="J107">
        <v>1.12094</v>
      </c>
      <c r="K107">
        <v>1.2021500000000001</v>
      </c>
      <c r="M107">
        <v>0.75905</v>
      </c>
      <c r="N107">
        <v>0.32112000000000002</v>
      </c>
      <c r="O107">
        <v>2.758E-2</v>
      </c>
      <c r="P107">
        <v>0.128</v>
      </c>
      <c r="Q107">
        <v>1.24074</v>
      </c>
      <c r="R107">
        <v>2015</v>
      </c>
    </row>
    <row r="108" spans="3:18" x14ac:dyDescent="0.35">
      <c r="C108" t="s">
        <v>126</v>
      </c>
      <c r="D108" t="s">
        <v>28</v>
      </c>
      <c r="E108">
        <v>105</v>
      </c>
      <c r="F108">
        <v>4.7880000000000003</v>
      </c>
      <c r="G108">
        <v>5.6480000000000002E-2</v>
      </c>
      <c r="J108">
        <v>0.59531999999999996</v>
      </c>
      <c r="K108">
        <v>0.95347999999999999</v>
      </c>
      <c r="M108">
        <v>0.69510000000000005</v>
      </c>
      <c r="N108">
        <v>0.40148</v>
      </c>
      <c r="O108">
        <v>6.8250000000000005E-2</v>
      </c>
      <c r="P108">
        <v>0.23027</v>
      </c>
      <c r="Q108">
        <v>1.8440799999999999</v>
      </c>
      <c r="R108">
        <v>2015</v>
      </c>
    </row>
    <row r="109" spans="3:18" x14ac:dyDescent="0.35">
      <c r="C109" t="s">
        <v>127</v>
      </c>
      <c r="D109" t="s">
        <v>49</v>
      </c>
      <c r="E109">
        <v>106</v>
      </c>
      <c r="F109">
        <v>4.7859999999999996</v>
      </c>
      <c r="G109">
        <v>3.1980000000000001E-2</v>
      </c>
      <c r="J109">
        <v>0.39046999999999998</v>
      </c>
      <c r="K109">
        <v>0.85563</v>
      </c>
      <c r="M109">
        <v>0.57379000000000002</v>
      </c>
      <c r="N109">
        <v>0.47216000000000002</v>
      </c>
      <c r="O109">
        <v>0.15071999999999999</v>
      </c>
      <c r="P109">
        <v>0.22974</v>
      </c>
      <c r="Q109">
        <v>2.1139899999999998</v>
      </c>
      <c r="R109">
        <v>2015</v>
      </c>
    </row>
    <row r="110" spans="3:18" x14ac:dyDescent="0.35">
      <c r="C110" t="s">
        <v>128</v>
      </c>
      <c r="D110" t="s">
        <v>26</v>
      </c>
      <c r="E110">
        <v>107</v>
      </c>
      <c r="F110">
        <v>4.7389999999999999</v>
      </c>
      <c r="G110">
        <v>3.5889999999999998E-2</v>
      </c>
      <c r="J110">
        <v>0.88112999999999997</v>
      </c>
      <c r="K110">
        <v>0.60428999999999999</v>
      </c>
      <c r="M110">
        <v>0.73792999999999997</v>
      </c>
      <c r="N110">
        <v>0.26268000000000002</v>
      </c>
      <c r="O110">
        <v>6.3579999999999998E-2</v>
      </c>
      <c r="P110">
        <v>6.4310000000000006E-2</v>
      </c>
      <c r="Q110">
        <v>2.12466</v>
      </c>
      <c r="R110">
        <v>2015</v>
      </c>
    </row>
    <row r="111" spans="3:18" x14ac:dyDescent="0.35">
      <c r="C111" t="s">
        <v>129</v>
      </c>
      <c r="D111" t="s">
        <v>26</v>
      </c>
      <c r="E111">
        <v>108</v>
      </c>
      <c r="F111">
        <v>4.7149999999999999</v>
      </c>
      <c r="G111">
        <v>4.394E-2</v>
      </c>
      <c r="J111">
        <v>0.59867000000000004</v>
      </c>
      <c r="K111">
        <v>0.92557999999999996</v>
      </c>
      <c r="M111">
        <v>0.66015000000000001</v>
      </c>
      <c r="N111">
        <v>0.24499000000000001</v>
      </c>
      <c r="O111">
        <v>0.12905</v>
      </c>
      <c r="P111">
        <v>0.11251</v>
      </c>
      <c r="Q111">
        <v>2.0438399999999999</v>
      </c>
      <c r="R111">
        <v>2015</v>
      </c>
    </row>
    <row r="112" spans="3:18" x14ac:dyDescent="0.35">
      <c r="C112" t="s">
        <v>130</v>
      </c>
      <c r="D112" t="s">
        <v>100</v>
      </c>
      <c r="E112">
        <v>109</v>
      </c>
      <c r="F112">
        <v>4.694</v>
      </c>
      <c r="G112">
        <v>3.0769999999999999E-2</v>
      </c>
      <c r="J112">
        <v>0.39752999999999999</v>
      </c>
      <c r="K112">
        <v>0.43106</v>
      </c>
      <c r="M112">
        <v>0.60163999999999995</v>
      </c>
      <c r="N112">
        <v>0.40820000000000001</v>
      </c>
      <c r="O112">
        <v>0.12569</v>
      </c>
      <c r="P112">
        <v>0.21221999999999999</v>
      </c>
      <c r="Q112">
        <v>2.5176699999999999</v>
      </c>
      <c r="R112">
        <v>2015</v>
      </c>
    </row>
    <row r="113" spans="3:18" x14ac:dyDescent="0.35">
      <c r="C113" t="s">
        <v>131</v>
      </c>
      <c r="D113" t="s">
        <v>26</v>
      </c>
      <c r="E113">
        <v>110</v>
      </c>
      <c r="F113">
        <v>4.6859999999999999</v>
      </c>
      <c r="G113">
        <v>4.4490000000000002E-2</v>
      </c>
      <c r="J113">
        <v>1.0087999999999999</v>
      </c>
      <c r="K113">
        <v>0.54447000000000001</v>
      </c>
      <c r="M113">
        <v>0.69804999999999995</v>
      </c>
      <c r="N113">
        <v>0.30032999999999999</v>
      </c>
      <c r="O113">
        <v>5.8630000000000002E-2</v>
      </c>
      <c r="P113">
        <v>0.38085999999999998</v>
      </c>
      <c r="Q113">
        <v>1.6943999999999999</v>
      </c>
      <c r="R113">
        <v>2015</v>
      </c>
    </row>
    <row r="114" spans="3:18" x14ac:dyDescent="0.35">
      <c r="C114" t="s">
        <v>132</v>
      </c>
      <c r="D114" t="s">
        <v>49</v>
      </c>
      <c r="E114">
        <v>111</v>
      </c>
      <c r="F114">
        <v>4.681</v>
      </c>
      <c r="G114">
        <v>4.4119999999999999E-2</v>
      </c>
      <c r="J114">
        <v>0.79906999999999995</v>
      </c>
      <c r="K114">
        <v>1.20278</v>
      </c>
      <c r="M114">
        <v>0.67390000000000005</v>
      </c>
      <c r="N114">
        <v>0.25123000000000001</v>
      </c>
      <c r="O114">
        <v>2.9610000000000001E-2</v>
      </c>
      <c r="P114">
        <v>0.15275</v>
      </c>
      <c r="Q114">
        <v>1.5713999999999999</v>
      </c>
      <c r="R114">
        <v>2015</v>
      </c>
    </row>
    <row r="115" spans="3:18" x14ac:dyDescent="0.35">
      <c r="C115" t="s">
        <v>133</v>
      </c>
      <c r="D115" t="s">
        <v>26</v>
      </c>
      <c r="E115">
        <v>112</v>
      </c>
      <c r="F115">
        <v>4.6769999999999996</v>
      </c>
      <c r="G115">
        <v>5.2319999999999998E-2</v>
      </c>
      <c r="J115">
        <v>0.98548999999999998</v>
      </c>
      <c r="K115">
        <v>0.81889000000000001</v>
      </c>
      <c r="M115">
        <v>0.60236999999999996</v>
      </c>
      <c r="N115">
        <v>0</v>
      </c>
      <c r="O115">
        <v>0.13788</v>
      </c>
      <c r="P115">
        <v>0.17921999999999999</v>
      </c>
      <c r="Q115">
        <v>1.9533499999999999</v>
      </c>
      <c r="R115">
        <v>2015</v>
      </c>
    </row>
    <row r="116" spans="3:18" x14ac:dyDescent="0.35">
      <c r="C116" t="s">
        <v>134</v>
      </c>
      <c r="D116" t="s">
        <v>91</v>
      </c>
      <c r="E116">
        <v>113</v>
      </c>
      <c r="F116">
        <v>4.6420000000000003</v>
      </c>
      <c r="G116">
        <v>4.5850000000000002E-2</v>
      </c>
      <c r="J116">
        <v>0.92049000000000003</v>
      </c>
      <c r="K116">
        <v>1.18468</v>
      </c>
      <c r="M116">
        <v>0.27688000000000001</v>
      </c>
      <c r="N116">
        <v>0.33206999999999998</v>
      </c>
      <c r="O116">
        <v>8.8840000000000002E-2</v>
      </c>
      <c r="P116">
        <v>0.11973</v>
      </c>
      <c r="Q116">
        <v>1.71956</v>
      </c>
      <c r="R116">
        <v>2015</v>
      </c>
    </row>
    <row r="117" spans="3:18" x14ac:dyDescent="0.35">
      <c r="C117" t="s">
        <v>135</v>
      </c>
      <c r="D117" t="s">
        <v>91</v>
      </c>
      <c r="E117">
        <v>114</v>
      </c>
      <c r="F117">
        <v>4.633</v>
      </c>
      <c r="G117">
        <v>4.7419999999999997E-2</v>
      </c>
      <c r="J117">
        <v>0.54557999999999995</v>
      </c>
      <c r="K117">
        <v>0.67954000000000003</v>
      </c>
      <c r="M117">
        <v>0.40132000000000001</v>
      </c>
      <c r="N117">
        <v>0.42342000000000002</v>
      </c>
      <c r="O117">
        <v>4.3549999999999998E-2</v>
      </c>
      <c r="P117">
        <v>0.23086999999999999</v>
      </c>
      <c r="Q117">
        <v>2.3091900000000001</v>
      </c>
      <c r="R117">
        <v>2015</v>
      </c>
    </row>
    <row r="118" spans="3:18" x14ac:dyDescent="0.35">
      <c r="C118" t="s">
        <v>136</v>
      </c>
      <c r="D118" t="s">
        <v>91</v>
      </c>
      <c r="E118">
        <v>115</v>
      </c>
      <c r="F118">
        <v>4.6100000000000003</v>
      </c>
      <c r="G118">
        <v>4.2900000000000001E-2</v>
      </c>
      <c r="J118">
        <v>0.27100000000000002</v>
      </c>
      <c r="K118">
        <v>1.0327599999999999</v>
      </c>
      <c r="M118">
        <v>0.33474999999999999</v>
      </c>
      <c r="N118">
        <v>0.25861000000000001</v>
      </c>
      <c r="O118">
        <v>8.0790000000000001E-2</v>
      </c>
      <c r="P118">
        <v>0.18987000000000001</v>
      </c>
      <c r="Q118">
        <v>2.44191</v>
      </c>
      <c r="R118">
        <v>2015</v>
      </c>
    </row>
    <row r="119" spans="3:18" x14ac:dyDescent="0.35">
      <c r="C119" t="s">
        <v>137</v>
      </c>
      <c r="D119" t="s">
        <v>91</v>
      </c>
      <c r="E119">
        <v>116</v>
      </c>
      <c r="F119">
        <v>4.5709999999999997</v>
      </c>
      <c r="G119">
        <v>0.11068</v>
      </c>
      <c r="J119">
        <v>7.1199999999999999E-2</v>
      </c>
      <c r="K119">
        <v>0.78968000000000005</v>
      </c>
      <c r="M119">
        <v>0.34200999999999998</v>
      </c>
      <c r="N119">
        <v>0.28531000000000001</v>
      </c>
      <c r="O119">
        <v>6.232E-2</v>
      </c>
      <c r="P119">
        <v>0.24362</v>
      </c>
      <c r="Q119">
        <v>2.7772899999999998</v>
      </c>
      <c r="R119">
        <v>2015</v>
      </c>
    </row>
    <row r="120" spans="3:18" x14ac:dyDescent="0.35">
      <c r="C120" t="s">
        <v>138</v>
      </c>
      <c r="D120" t="s">
        <v>100</v>
      </c>
      <c r="E120">
        <v>117</v>
      </c>
      <c r="F120">
        <v>4.5650000000000004</v>
      </c>
      <c r="G120">
        <v>2.043E-2</v>
      </c>
      <c r="J120">
        <v>0.64498999999999995</v>
      </c>
      <c r="K120">
        <v>0.38174000000000002</v>
      </c>
      <c r="M120">
        <v>0.51529000000000003</v>
      </c>
      <c r="N120">
        <v>0.39785999999999999</v>
      </c>
      <c r="O120">
        <v>8.4919999999999995E-2</v>
      </c>
      <c r="P120">
        <v>0.26474999999999999</v>
      </c>
      <c r="Q120">
        <v>2.2751299999999999</v>
      </c>
      <c r="R120">
        <v>2015</v>
      </c>
    </row>
    <row r="121" spans="3:18" x14ac:dyDescent="0.35">
      <c r="C121" t="s">
        <v>139</v>
      </c>
      <c r="D121" t="s">
        <v>91</v>
      </c>
      <c r="E121">
        <v>118</v>
      </c>
      <c r="F121">
        <v>4.55</v>
      </c>
      <c r="G121">
        <v>6.7400000000000002E-2</v>
      </c>
      <c r="J121">
        <v>0.52107000000000003</v>
      </c>
      <c r="K121">
        <v>1.0140400000000001</v>
      </c>
      <c r="M121">
        <v>0.36878</v>
      </c>
      <c r="N121">
        <v>0.10081</v>
      </c>
      <c r="O121">
        <v>0.14660000000000001</v>
      </c>
      <c r="P121">
        <v>0.19062000000000001</v>
      </c>
      <c r="Q121">
        <v>2.2085699999999999</v>
      </c>
      <c r="R121">
        <v>2015</v>
      </c>
    </row>
    <row r="122" spans="3:18" x14ac:dyDescent="0.35">
      <c r="C122" t="s">
        <v>140</v>
      </c>
      <c r="D122" t="s">
        <v>28</v>
      </c>
      <c r="E122">
        <v>119</v>
      </c>
      <c r="F122">
        <v>4.5179999999999998</v>
      </c>
      <c r="G122">
        <v>7.331E-2</v>
      </c>
      <c r="J122">
        <v>0.26673000000000002</v>
      </c>
      <c r="K122">
        <v>0.74302000000000001</v>
      </c>
      <c r="M122">
        <v>0.38846999999999998</v>
      </c>
      <c r="N122">
        <v>0.24424999999999999</v>
      </c>
      <c r="O122">
        <v>0.17175000000000001</v>
      </c>
      <c r="P122">
        <v>0.46187</v>
      </c>
      <c r="Q122">
        <v>2.24173</v>
      </c>
      <c r="R122">
        <v>2015</v>
      </c>
    </row>
    <row r="123" spans="3:18" x14ac:dyDescent="0.35">
      <c r="C123" t="s">
        <v>141</v>
      </c>
      <c r="D123" t="s">
        <v>91</v>
      </c>
      <c r="E123">
        <v>120</v>
      </c>
      <c r="F123">
        <v>4.5170000000000003</v>
      </c>
      <c r="G123">
        <v>3.6799999999999999E-2</v>
      </c>
      <c r="J123">
        <v>0</v>
      </c>
      <c r="K123">
        <v>1.0012000000000001</v>
      </c>
      <c r="M123">
        <v>9.8059999999999994E-2</v>
      </c>
      <c r="N123">
        <v>0.22605</v>
      </c>
      <c r="O123">
        <v>7.6249999999999998E-2</v>
      </c>
      <c r="P123">
        <v>0.24834000000000001</v>
      </c>
      <c r="Q123">
        <v>2.8671199999999999</v>
      </c>
      <c r="R123">
        <v>2015</v>
      </c>
    </row>
    <row r="124" spans="3:18" x14ac:dyDescent="0.35">
      <c r="C124" t="s">
        <v>142</v>
      </c>
      <c r="D124" t="s">
        <v>100</v>
      </c>
      <c r="E124">
        <v>121</v>
      </c>
      <c r="F124">
        <v>4.5140000000000002</v>
      </c>
      <c r="G124">
        <v>3.6069999999999998E-2</v>
      </c>
      <c r="J124">
        <v>0.35997000000000001</v>
      </c>
      <c r="K124">
        <v>0.86448999999999998</v>
      </c>
      <c r="M124">
        <v>0.56874000000000002</v>
      </c>
      <c r="N124">
        <v>0.38281999999999999</v>
      </c>
      <c r="O124">
        <v>5.9069999999999998E-2</v>
      </c>
      <c r="P124">
        <v>0.32296000000000002</v>
      </c>
      <c r="Q124">
        <v>1.9563699999999999</v>
      </c>
      <c r="R124">
        <v>2015</v>
      </c>
    </row>
    <row r="125" spans="3:18" x14ac:dyDescent="0.35">
      <c r="C125" t="s">
        <v>143</v>
      </c>
      <c r="D125" t="s">
        <v>91</v>
      </c>
      <c r="E125">
        <v>122</v>
      </c>
      <c r="F125">
        <v>4.5119999999999996</v>
      </c>
      <c r="G125">
        <v>3.78E-2</v>
      </c>
      <c r="J125">
        <v>0.19073000000000001</v>
      </c>
      <c r="K125">
        <v>0.60406000000000004</v>
      </c>
      <c r="M125">
        <v>0.44055</v>
      </c>
      <c r="N125">
        <v>0.4345</v>
      </c>
      <c r="O125">
        <v>0.15048</v>
      </c>
      <c r="P125">
        <v>0.24324999999999999</v>
      </c>
      <c r="Q125">
        <v>2.44876</v>
      </c>
      <c r="R125">
        <v>2015</v>
      </c>
    </row>
    <row r="126" spans="3:18" x14ac:dyDescent="0.35">
      <c r="C126" t="s">
        <v>144</v>
      </c>
      <c r="D126" t="s">
        <v>91</v>
      </c>
      <c r="E126">
        <v>123</v>
      </c>
      <c r="F126">
        <v>4.5069999999999997</v>
      </c>
      <c r="G126">
        <v>7.0680000000000007E-2</v>
      </c>
      <c r="J126">
        <v>0.33023999999999998</v>
      </c>
      <c r="K126">
        <v>0.95570999999999995</v>
      </c>
      <c r="M126">
        <v>0</v>
      </c>
      <c r="N126">
        <v>0.40839999999999999</v>
      </c>
      <c r="O126">
        <v>8.7859999999999994E-2</v>
      </c>
      <c r="P126">
        <v>0.21487999999999999</v>
      </c>
      <c r="Q126">
        <v>2.5100899999999999</v>
      </c>
      <c r="R126">
        <v>2015</v>
      </c>
    </row>
    <row r="127" spans="3:18" x14ac:dyDescent="0.35">
      <c r="C127" t="s">
        <v>145</v>
      </c>
      <c r="D127" t="s">
        <v>91</v>
      </c>
      <c r="E127">
        <v>124</v>
      </c>
      <c r="F127">
        <v>4.4359999999999999</v>
      </c>
      <c r="G127">
        <v>3.9469999999999998E-2</v>
      </c>
      <c r="J127">
        <v>0.45406999999999997</v>
      </c>
      <c r="K127">
        <v>0.86907999999999996</v>
      </c>
      <c r="M127">
        <v>0.35874</v>
      </c>
      <c r="N127">
        <v>0.24232000000000001</v>
      </c>
      <c r="O127">
        <v>0.17460999999999999</v>
      </c>
      <c r="P127">
        <v>0.219</v>
      </c>
      <c r="Q127">
        <v>2.1177299999999999</v>
      </c>
      <c r="R127">
        <v>2015</v>
      </c>
    </row>
    <row r="128" spans="3:18" x14ac:dyDescent="0.35">
      <c r="C128" t="s">
        <v>146</v>
      </c>
      <c r="D128" t="s">
        <v>91</v>
      </c>
      <c r="E128">
        <v>125</v>
      </c>
      <c r="F128">
        <v>4.4189999999999996</v>
      </c>
      <c r="G128">
        <v>4.734E-2</v>
      </c>
      <c r="J128">
        <v>0.36470999999999998</v>
      </c>
      <c r="K128">
        <v>0.99875999999999998</v>
      </c>
      <c r="M128">
        <v>0.41435</v>
      </c>
      <c r="N128">
        <v>0.42215000000000003</v>
      </c>
      <c r="O128">
        <v>5.8389999999999997E-2</v>
      </c>
      <c r="P128">
        <v>0.37541999999999998</v>
      </c>
      <c r="Q128">
        <v>1.78555</v>
      </c>
      <c r="R128">
        <v>2015</v>
      </c>
    </row>
    <row r="129" spans="3:18" x14ac:dyDescent="0.35">
      <c r="C129" t="s">
        <v>147</v>
      </c>
      <c r="D129" t="s">
        <v>91</v>
      </c>
      <c r="E129">
        <v>126</v>
      </c>
      <c r="F129">
        <v>4.3689999999999998</v>
      </c>
      <c r="G129">
        <v>8.0960000000000004E-2</v>
      </c>
      <c r="J129">
        <v>0.44024999999999997</v>
      </c>
      <c r="K129">
        <v>0.59206999999999999</v>
      </c>
      <c r="M129">
        <v>0.36291000000000001</v>
      </c>
      <c r="N129">
        <v>0.46073999999999998</v>
      </c>
      <c r="O129">
        <v>0.28105000000000002</v>
      </c>
      <c r="P129">
        <v>0.18093000000000001</v>
      </c>
      <c r="Q129">
        <v>2.05125</v>
      </c>
      <c r="R129">
        <v>2015</v>
      </c>
    </row>
    <row r="130" spans="3:18" x14ac:dyDescent="0.35">
      <c r="C130" t="s">
        <v>148</v>
      </c>
      <c r="D130" t="s">
        <v>49</v>
      </c>
      <c r="E130">
        <v>127</v>
      </c>
      <c r="F130">
        <v>4.3499999999999996</v>
      </c>
      <c r="G130">
        <v>4.7629999999999999E-2</v>
      </c>
      <c r="J130">
        <v>0.76820999999999995</v>
      </c>
      <c r="K130">
        <v>0.77710999999999997</v>
      </c>
      <c r="M130">
        <v>0.72989999999999999</v>
      </c>
      <c r="N130">
        <v>0.19847000000000001</v>
      </c>
      <c r="O130">
        <v>3.9E-2</v>
      </c>
      <c r="P130">
        <v>7.8549999999999995E-2</v>
      </c>
      <c r="Q130">
        <v>1.7587299999999999</v>
      </c>
      <c r="R130">
        <v>2015</v>
      </c>
    </row>
    <row r="131" spans="3:18" x14ac:dyDescent="0.35">
      <c r="C131" t="s">
        <v>149</v>
      </c>
      <c r="D131" t="s">
        <v>91</v>
      </c>
      <c r="E131">
        <v>128</v>
      </c>
      <c r="F131">
        <v>4.3319999999999999</v>
      </c>
      <c r="G131">
        <v>4.9340000000000002E-2</v>
      </c>
      <c r="J131">
        <v>0.99355000000000004</v>
      </c>
      <c r="K131">
        <v>1.1046400000000001</v>
      </c>
      <c r="M131">
        <v>4.7759999999999997E-2</v>
      </c>
      <c r="N131">
        <v>0.49495</v>
      </c>
      <c r="O131">
        <v>0.12474</v>
      </c>
      <c r="P131">
        <v>0.10460999999999999</v>
      </c>
      <c r="Q131">
        <v>1.4618100000000001</v>
      </c>
      <c r="R131">
        <v>2015</v>
      </c>
    </row>
    <row r="132" spans="3:18" x14ac:dyDescent="0.35">
      <c r="C132" t="s">
        <v>150</v>
      </c>
      <c r="D132" t="s">
        <v>41</v>
      </c>
      <c r="E132">
        <v>129</v>
      </c>
      <c r="F132">
        <v>4.3070000000000004</v>
      </c>
      <c r="G132">
        <v>4.351E-2</v>
      </c>
      <c r="J132">
        <v>0.27107999999999999</v>
      </c>
      <c r="K132">
        <v>0.70904999999999996</v>
      </c>
      <c r="M132">
        <v>0.48246</v>
      </c>
      <c r="N132">
        <v>0.44017000000000001</v>
      </c>
      <c r="O132">
        <v>0.19034000000000001</v>
      </c>
      <c r="P132">
        <v>0.79588000000000003</v>
      </c>
      <c r="Q132">
        <v>1.41805</v>
      </c>
      <c r="R132">
        <v>2015</v>
      </c>
    </row>
    <row r="133" spans="3:18" x14ac:dyDescent="0.35">
      <c r="C133" t="s">
        <v>151</v>
      </c>
      <c r="D133" t="s">
        <v>49</v>
      </c>
      <c r="E133">
        <v>130</v>
      </c>
      <c r="F133">
        <v>4.2969999999999997</v>
      </c>
      <c r="G133">
        <v>4.2209999999999998E-2</v>
      </c>
      <c r="J133">
        <v>0.7419</v>
      </c>
      <c r="K133">
        <v>0.38562000000000002</v>
      </c>
      <c r="M133">
        <v>0.72926000000000002</v>
      </c>
      <c r="N133">
        <v>0.40577000000000002</v>
      </c>
      <c r="O133">
        <v>0.38330999999999998</v>
      </c>
      <c r="P133">
        <v>5.5469999999999998E-2</v>
      </c>
      <c r="Q133">
        <v>1.59541</v>
      </c>
      <c r="R133">
        <v>2015</v>
      </c>
    </row>
    <row r="134" spans="3:18" x14ac:dyDescent="0.35">
      <c r="C134" t="s">
        <v>152</v>
      </c>
      <c r="D134" t="s">
        <v>91</v>
      </c>
      <c r="E134">
        <v>131</v>
      </c>
      <c r="F134">
        <v>4.2919999999999998</v>
      </c>
      <c r="G134">
        <v>6.13E-2</v>
      </c>
      <c r="J134">
        <v>1.6039999999999999E-2</v>
      </c>
      <c r="K134">
        <v>0.41133999999999998</v>
      </c>
      <c r="M134">
        <v>0.22561999999999999</v>
      </c>
      <c r="N134">
        <v>0.43053999999999998</v>
      </c>
      <c r="O134">
        <v>6.9769999999999999E-2</v>
      </c>
      <c r="P134">
        <v>0.33128000000000002</v>
      </c>
      <c r="Q134">
        <v>2.8079100000000001</v>
      </c>
      <c r="R134">
        <v>2015</v>
      </c>
    </row>
    <row r="135" spans="3:18" x14ac:dyDescent="0.35">
      <c r="C135" t="s">
        <v>153</v>
      </c>
      <c r="D135" t="s">
        <v>100</v>
      </c>
      <c r="E135">
        <v>132</v>
      </c>
      <c r="F135">
        <v>4.2709999999999999</v>
      </c>
      <c r="G135">
        <v>3.7510000000000002E-2</v>
      </c>
      <c r="J135">
        <v>0.83523999999999998</v>
      </c>
      <c r="K135">
        <v>1.01905</v>
      </c>
      <c r="M135">
        <v>0.70806000000000002</v>
      </c>
      <c r="N135">
        <v>0.53725999999999996</v>
      </c>
      <c r="O135">
        <v>9.1789999999999997E-2</v>
      </c>
      <c r="P135">
        <v>0.40827999999999998</v>
      </c>
      <c r="Q135">
        <v>0.67108000000000001</v>
      </c>
      <c r="R135">
        <v>2015</v>
      </c>
    </row>
    <row r="136" spans="3:18" x14ac:dyDescent="0.35">
      <c r="C136" t="s">
        <v>154</v>
      </c>
      <c r="D136" t="s">
        <v>91</v>
      </c>
      <c r="E136">
        <v>133</v>
      </c>
      <c r="F136">
        <v>4.2519999999999998</v>
      </c>
      <c r="G136">
        <v>4.6780000000000002E-2</v>
      </c>
      <c r="J136">
        <v>0.42249999999999999</v>
      </c>
      <c r="K136">
        <v>0.88766999999999996</v>
      </c>
      <c r="M136">
        <v>0.23402000000000001</v>
      </c>
      <c r="N136">
        <v>0.49308999999999997</v>
      </c>
      <c r="O136">
        <v>5.7860000000000002E-2</v>
      </c>
      <c r="P136">
        <v>0.20618</v>
      </c>
      <c r="Q136">
        <v>1.9507099999999999</v>
      </c>
      <c r="R136">
        <v>2015</v>
      </c>
    </row>
    <row r="137" spans="3:18" x14ac:dyDescent="0.35">
      <c r="C137" t="s">
        <v>155</v>
      </c>
      <c r="D137" t="s">
        <v>49</v>
      </c>
      <c r="E137">
        <v>134</v>
      </c>
      <c r="F137">
        <v>4.218</v>
      </c>
      <c r="G137">
        <v>4.8280000000000003E-2</v>
      </c>
      <c r="J137">
        <v>1.0121599999999999</v>
      </c>
      <c r="K137">
        <v>1.1061399999999999</v>
      </c>
      <c r="M137">
        <v>0.76649</v>
      </c>
      <c r="N137">
        <v>0.30586999999999998</v>
      </c>
      <c r="O137">
        <v>8.7200000000000003E-3</v>
      </c>
      <c r="P137">
        <v>0.11921</v>
      </c>
      <c r="Q137">
        <v>0.89990999999999999</v>
      </c>
      <c r="R137">
        <v>2015</v>
      </c>
    </row>
    <row r="138" spans="3:18" x14ac:dyDescent="0.35">
      <c r="C138" t="s">
        <v>156</v>
      </c>
      <c r="D138" t="s">
        <v>26</v>
      </c>
      <c r="E138">
        <v>135</v>
      </c>
      <c r="F138">
        <v>4.194</v>
      </c>
      <c r="G138">
        <v>3.2599999999999997E-2</v>
      </c>
      <c r="J138">
        <v>0.88180000000000003</v>
      </c>
      <c r="K138">
        <v>0.747</v>
      </c>
      <c r="M138">
        <v>0.61712</v>
      </c>
      <c r="N138">
        <v>0.17288000000000001</v>
      </c>
      <c r="O138">
        <v>6.3240000000000005E-2</v>
      </c>
      <c r="P138">
        <v>0.11291</v>
      </c>
      <c r="Q138">
        <v>1.59927</v>
      </c>
      <c r="R138">
        <v>2015</v>
      </c>
    </row>
    <row r="139" spans="3:18" x14ac:dyDescent="0.35">
      <c r="C139" t="s">
        <v>157</v>
      </c>
      <c r="D139" t="s">
        <v>26</v>
      </c>
      <c r="E139">
        <v>136</v>
      </c>
      <c r="F139">
        <v>4.077</v>
      </c>
      <c r="G139">
        <v>4.367E-2</v>
      </c>
      <c r="J139">
        <v>0.54649000000000003</v>
      </c>
      <c r="K139">
        <v>0.68093000000000004</v>
      </c>
      <c r="M139">
        <v>0.40064</v>
      </c>
      <c r="N139">
        <v>0.35571000000000003</v>
      </c>
      <c r="O139">
        <v>7.8539999999999999E-2</v>
      </c>
      <c r="P139">
        <v>9.1310000000000002E-2</v>
      </c>
      <c r="Q139">
        <v>1.92313</v>
      </c>
      <c r="R139">
        <v>2015</v>
      </c>
    </row>
    <row r="140" spans="3:18" x14ac:dyDescent="0.35">
      <c r="C140" t="s">
        <v>158</v>
      </c>
      <c r="D140" t="s">
        <v>91</v>
      </c>
      <c r="E140">
        <v>137</v>
      </c>
      <c r="F140">
        <v>4.0330000000000004</v>
      </c>
      <c r="G140">
        <v>4.7579999999999997E-2</v>
      </c>
      <c r="J140">
        <v>0.75778000000000001</v>
      </c>
      <c r="K140">
        <v>0.86040000000000005</v>
      </c>
      <c r="M140">
        <v>0.16683000000000001</v>
      </c>
      <c r="N140">
        <v>0.10384</v>
      </c>
      <c r="O140">
        <v>7.1220000000000006E-2</v>
      </c>
      <c r="P140">
        <v>0.12343999999999999</v>
      </c>
      <c r="Q140">
        <v>1.94939</v>
      </c>
      <c r="R140">
        <v>2015</v>
      </c>
    </row>
    <row r="141" spans="3:18" x14ac:dyDescent="0.35">
      <c r="C141" t="s">
        <v>159</v>
      </c>
      <c r="D141" t="s">
        <v>91</v>
      </c>
      <c r="E141">
        <v>138</v>
      </c>
      <c r="F141">
        <v>3.9950000000000001</v>
      </c>
      <c r="G141">
        <v>5.602E-2</v>
      </c>
      <c r="J141">
        <v>0.26074000000000003</v>
      </c>
      <c r="K141">
        <v>1.0352600000000001</v>
      </c>
      <c r="M141">
        <v>0.20583000000000001</v>
      </c>
      <c r="N141">
        <v>0.38857000000000003</v>
      </c>
      <c r="O141">
        <v>0.12352</v>
      </c>
      <c r="P141">
        <v>0.18798000000000001</v>
      </c>
      <c r="Q141">
        <v>1.7929299999999999</v>
      </c>
      <c r="R141">
        <v>2015</v>
      </c>
    </row>
    <row r="142" spans="3:18" x14ac:dyDescent="0.35">
      <c r="C142" t="s">
        <v>160</v>
      </c>
      <c r="D142" t="s">
        <v>91</v>
      </c>
      <c r="E142">
        <v>139</v>
      </c>
      <c r="F142">
        <v>3.9889999999999999</v>
      </c>
      <c r="G142">
        <v>6.6820000000000004E-2</v>
      </c>
      <c r="J142">
        <v>0.67866000000000004</v>
      </c>
      <c r="K142">
        <v>0.66290000000000004</v>
      </c>
      <c r="M142">
        <v>0.31051000000000001</v>
      </c>
      <c r="N142">
        <v>0.41465999999999997</v>
      </c>
      <c r="O142">
        <v>0.11686000000000001</v>
      </c>
      <c r="P142">
        <v>0.12388</v>
      </c>
      <c r="Q142">
        <v>1.6813499999999999</v>
      </c>
      <c r="R142">
        <v>2015</v>
      </c>
    </row>
    <row r="143" spans="3:18" x14ac:dyDescent="0.35">
      <c r="C143" t="s">
        <v>161</v>
      </c>
      <c r="D143" t="s">
        <v>91</v>
      </c>
      <c r="E143">
        <v>140</v>
      </c>
      <c r="F143">
        <v>3.956</v>
      </c>
      <c r="G143">
        <v>4.7969999999999999E-2</v>
      </c>
      <c r="J143">
        <v>0.23905999999999999</v>
      </c>
      <c r="K143">
        <v>0.79273000000000005</v>
      </c>
      <c r="M143">
        <v>0.36314999999999997</v>
      </c>
      <c r="N143">
        <v>0.22917000000000001</v>
      </c>
      <c r="O143">
        <v>0.19900000000000001</v>
      </c>
      <c r="P143">
        <v>0.17441000000000001</v>
      </c>
      <c r="Q143">
        <v>1.9581200000000001</v>
      </c>
      <c r="R143">
        <v>2015</v>
      </c>
    </row>
    <row r="144" spans="3:18" x14ac:dyDescent="0.35">
      <c r="C144" t="s">
        <v>162</v>
      </c>
      <c r="D144" t="s">
        <v>91</v>
      </c>
      <c r="E144">
        <v>141</v>
      </c>
      <c r="F144">
        <v>3.931</v>
      </c>
      <c r="G144">
        <v>4.317E-2</v>
      </c>
      <c r="J144">
        <v>0.21102000000000001</v>
      </c>
      <c r="K144">
        <v>1.1329899999999999</v>
      </c>
      <c r="M144">
        <v>0.33861000000000002</v>
      </c>
      <c r="N144">
        <v>0.45727000000000001</v>
      </c>
      <c r="O144">
        <v>7.2669999999999998E-2</v>
      </c>
      <c r="P144">
        <v>0.29065999999999997</v>
      </c>
      <c r="Q144">
        <v>1.4276599999999999</v>
      </c>
      <c r="R144">
        <v>2015</v>
      </c>
    </row>
    <row r="145" spans="3:18" x14ac:dyDescent="0.35">
      <c r="C145" t="s">
        <v>163</v>
      </c>
      <c r="D145" t="s">
        <v>91</v>
      </c>
      <c r="E145">
        <v>142</v>
      </c>
      <c r="F145">
        <v>3.9039999999999999</v>
      </c>
      <c r="G145">
        <v>3.6080000000000001E-2</v>
      </c>
      <c r="J145">
        <v>0.36498000000000003</v>
      </c>
      <c r="K145">
        <v>0.97619</v>
      </c>
      <c r="M145">
        <v>0.43540000000000001</v>
      </c>
      <c r="N145">
        <v>0.36771999999999999</v>
      </c>
      <c r="O145">
        <v>0.10713</v>
      </c>
      <c r="P145">
        <v>0.20843</v>
      </c>
      <c r="Q145">
        <v>1.4439500000000001</v>
      </c>
      <c r="R145">
        <v>2015</v>
      </c>
    </row>
    <row r="146" spans="3:18" x14ac:dyDescent="0.35">
      <c r="C146" t="s">
        <v>164</v>
      </c>
      <c r="D146" t="s">
        <v>91</v>
      </c>
      <c r="E146">
        <v>143</v>
      </c>
      <c r="F146">
        <v>3.8959999999999999</v>
      </c>
      <c r="G146">
        <v>4.5469999999999997E-2</v>
      </c>
      <c r="J146">
        <v>1.0602400000000001</v>
      </c>
      <c r="K146">
        <v>0.90527999999999997</v>
      </c>
      <c r="M146">
        <v>0.43371999999999999</v>
      </c>
      <c r="N146">
        <v>0.31913999999999998</v>
      </c>
      <c r="O146">
        <v>0.11090999999999999</v>
      </c>
      <c r="P146">
        <v>6.8220000000000003E-2</v>
      </c>
      <c r="Q146">
        <v>0.99895</v>
      </c>
      <c r="R146">
        <v>2015</v>
      </c>
    </row>
    <row r="147" spans="3:18" x14ac:dyDescent="0.35">
      <c r="C147" t="s">
        <v>165</v>
      </c>
      <c r="D147" t="s">
        <v>91</v>
      </c>
      <c r="E147">
        <v>144</v>
      </c>
      <c r="F147">
        <v>3.8450000000000002</v>
      </c>
      <c r="G147">
        <v>3.6020000000000003E-2</v>
      </c>
      <c r="J147">
        <v>6.9400000000000003E-2</v>
      </c>
      <c r="K147">
        <v>0.77264999999999995</v>
      </c>
      <c r="M147">
        <v>0.29707</v>
      </c>
      <c r="N147">
        <v>0.47692000000000001</v>
      </c>
      <c r="O147">
        <v>0.15639</v>
      </c>
      <c r="P147">
        <v>0.19386999999999999</v>
      </c>
      <c r="Q147">
        <v>1.8787700000000001</v>
      </c>
      <c r="R147">
        <v>2015</v>
      </c>
    </row>
    <row r="148" spans="3:18" x14ac:dyDescent="0.35">
      <c r="C148" t="s">
        <v>166</v>
      </c>
      <c r="D148" t="s">
        <v>41</v>
      </c>
      <c r="E148">
        <v>145</v>
      </c>
      <c r="F148">
        <v>3.819</v>
      </c>
      <c r="G148">
        <v>5.0689999999999999E-2</v>
      </c>
      <c r="J148">
        <v>0.46038000000000001</v>
      </c>
      <c r="K148">
        <v>0.62736000000000003</v>
      </c>
      <c r="M148">
        <v>0.61114000000000002</v>
      </c>
      <c r="N148">
        <v>0.66246000000000005</v>
      </c>
      <c r="O148">
        <v>7.2470000000000007E-2</v>
      </c>
      <c r="P148">
        <v>0.40359</v>
      </c>
      <c r="Q148">
        <v>0.98194999999999999</v>
      </c>
      <c r="R148">
        <v>2015</v>
      </c>
    </row>
    <row r="149" spans="3:18" x14ac:dyDescent="0.35">
      <c r="C149" t="s">
        <v>167</v>
      </c>
      <c r="D149" t="s">
        <v>91</v>
      </c>
      <c r="E149">
        <v>146</v>
      </c>
      <c r="F149">
        <v>3.7810000000000001</v>
      </c>
      <c r="G149">
        <v>5.0610000000000002E-2</v>
      </c>
      <c r="J149">
        <v>0.28520000000000001</v>
      </c>
      <c r="K149">
        <v>1.00268</v>
      </c>
      <c r="M149">
        <v>0.38214999999999999</v>
      </c>
      <c r="N149">
        <v>0.32878000000000002</v>
      </c>
      <c r="O149">
        <v>5.747E-2</v>
      </c>
      <c r="P149">
        <v>0.34377000000000002</v>
      </c>
      <c r="Q149">
        <v>1.38079</v>
      </c>
      <c r="R149">
        <v>2015</v>
      </c>
    </row>
    <row r="150" spans="3:18" x14ac:dyDescent="0.35">
      <c r="C150" t="s">
        <v>168</v>
      </c>
      <c r="D150" t="s">
        <v>91</v>
      </c>
      <c r="E150">
        <v>147</v>
      </c>
      <c r="F150">
        <v>3.681</v>
      </c>
      <c r="G150">
        <v>3.6330000000000001E-2</v>
      </c>
      <c r="J150">
        <v>0.20824000000000001</v>
      </c>
      <c r="K150">
        <v>0.66800999999999999</v>
      </c>
      <c r="M150">
        <v>0.46721000000000001</v>
      </c>
      <c r="N150">
        <v>0.19184000000000001</v>
      </c>
      <c r="O150">
        <v>8.1240000000000007E-2</v>
      </c>
      <c r="P150">
        <v>0.21332999999999999</v>
      </c>
      <c r="Q150">
        <v>1.851</v>
      </c>
      <c r="R150">
        <v>2015</v>
      </c>
    </row>
    <row r="151" spans="3:18" x14ac:dyDescent="0.35">
      <c r="C151" t="s">
        <v>169</v>
      </c>
      <c r="D151" t="s">
        <v>91</v>
      </c>
      <c r="E151">
        <v>148</v>
      </c>
      <c r="F151">
        <v>3.6779999999999999</v>
      </c>
      <c r="G151">
        <v>6.1120000000000001E-2</v>
      </c>
      <c r="J151">
        <v>7.85E-2</v>
      </c>
      <c r="K151">
        <v>0</v>
      </c>
      <c r="M151">
        <v>6.6989999999999994E-2</v>
      </c>
      <c r="N151">
        <v>0.48879</v>
      </c>
      <c r="O151">
        <v>8.2890000000000005E-2</v>
      </c>
      <c r="P151">
        <v>0.23835000000000001</v>
      </c>
      <c r="Q151">
        <v>2.7223000000000002</v>
      </c>
      <c r="R151">
        <v>2015</v>
      </c>
    </row>
    <row r="152" spans="3:18" x14ac:dyDescent="0.35">
      <c r="C152" t="s">
        <v>170</v>
      </c>
      <c r="D152" t="s">
        <v>91</v>
      </c>
      <c r="E152">
        <v>149</v>
      </c>
      <c r="F152">
        <v>3.6669999999999998</v>
      </c>
      <c r="G152">
        <v>3.8300000000000001E-2</v>
      </c>
      <c r="J152">
        <v>0.34193000000000001</v>
      </c>
      <c r="K152">
        <v>0.76061999999999996</v>
      </c>
      <c r="M152">
        <v>0.15010000000000001</v>
      </c>
      <c r="N152">
        <v>0.23501</v>
      </c>
      <c r="O152">
        <v>5.2690000000000001E-2</v>
      </c>
      <c r="P152">
        <v>0.18386</v>
      </c>
      <c r="Q152">
        <v>1.94296</v>
      </c>
      <c r="R152">
        <v>2015</v>
      </c>
    </row>
    <row r="153" spans="3:18" x14ac:dyDescent="0.35">
      <c r="C153" t="s">
        <v>171</v>
      </c>
      <c r="D153" t="s">
        <v>91</v>
      </c>
      <c r="E153">
        <v>150</v>
      </c>
      <c r="F153">
        <v>3.6560000000000001</v>
      </c>
      <c r="G153">
        <v>3.5900000000000001E-2</v>
      </c>
      <c r="J153">
        <v>0.17416999999999999</v>
      </c>
      <c r="K153">
        <v>0.46475</v>
      </c>
      <c r="M153">
        <v>0.24009</v>
      </c>
      <c r="N153">
        <v>0.37724999999999997</v>
      </c>
      <c r="O153">
        <v>0.12139</v>
      </c>
      <c r="P153">
        <v>0.28656999999999999</v>
      </c>
      <c r="Q153">
        <v>1.9917199999999999</v>
      </c>
      <c r="R153">
        <v>2015</v>
      </c>
    </row>
    <row r="154" spans="3:18" x14ac:dyDescent="0.35">
      <c r="C154" t="s">
        <v>172</v>
      </c>
      <c r="D154" t="s">
        <v>91</v>
      </c>
      <c r="E154">
        <v>151</v>
      </c>
      <c r="F154">
        <v>3.6549999999999998</v>
      </c>
      <c r="G154">
        <v>5.1409999999999997E-2</v>
      </c>
      <c r="J154">
        <v>0.46533999999999998</v>
      </c>
      <c r="K154">
        <v>0.77115</v>
      </c>
      <c r="M154">
        <v>0.15185000000000001</v>
      </c>
      <c r="N154">
        <v>0.46866000000000002</v>
      </c>
      <c r="O154">
        <v>0.17921999999999999</v>
      </c>
      <c r="P154">
        <v>0.20165</v>
      </c>
      <c r="Q154">
        <v>1.41723</v>
      </c>
      <c r="R154">
        <v>2015</v>
      </c>
    </row>
    <row r="155" spans="3:18" x14ac:dyDescent="0.35">
      <c r="C155" t="s">
        <v>173</v>
      </c>
      <c r="D155" t="s">
        <v>91</v>
      </c>
      <c r="E155">
        <v>152</v>
      </c>
      <c r="F155">
        <v>3.5870000000000002</v>
      </c>
      <c r="G155">
        <v>4.3240000000000001E-2</v>
      </c>
      <c r="J155">
        <v>0.25812000000000002</v>
      </c>
      <c r="K155">
        <v>0.85187999999999997</v>
      </c>
      <c r="M155">
        <v>0.27124999999999999</v>
      </c>
      <c r="N155">
        <v>0.39493</v>
      </c>
      <c r="O155">
        <v>0.12831999999999999</v>
      </c>
      <c r="P155">
        <v>0.21747</v>
      </c>
      <c r="Q155">
        <v>1.4649399999999999</v>
      </c>
      <c r="R155">
        <v>2015</v>
      </c>
    </row>
    <row r="156" spans="3:18" x14ac:dyDescent="0.35">
      <c r="C156" t="s">
        <v>174</v>
      </c>
      <c r="D156" t="s">
        <v>100</v>
      </c>
      <c r="E156">
        <v>153</v>
      </c>
      <c r="F156">
        <v>3.5750000000000002</v>
      </c>
      <c r="G156">
        <v>3.0839999999999999E-2</v>
      </c>
      <c r="J156">
        <v>0.31981999999999999</v>
      </c>
      <c r="K156">
        <v>0.30285000000000001</v>
      </c>
      <c r="M156">
        <v>0.30335000000000001</v>
      </c>
      <c r="N156">
        <v>0.23413999999999999</v>
      </c>
      <c r="O156">
        <v>9.7189999999999999E-2</v>
      </c>
      <c r="P156">
        <v>0.36509999999999998</v>
      </c>
      <c r="Q156">
        <v>1.9520999999999999</v>
      </c>
      <c r="R156">
        <v>2015</v>
      </c>
    </row>
    <row r="157" spans="3:18" x14ac:dyDescent="0.35">
      <c r="C157" t="s">
        <v>175</v>
      </c>
      <c r="D157" t="s">
        <v>91</v>
      </c>
      <c r="E157">
        <v>154</v>
      </c>
      <c r="F157">
        <v>3.4649999999999999</v>
      </c>
      <c r="G157">
        <v>3.4639999999999997E-2</v>
      </c>
      <c r="J157">
        <v>0.22208</v>
      </c>
      <c r="K157">
        <v>0.77370000000000005</v>
      </c>
      <c r="M157">
        <v>0.42864000000000002</v>
      </c>
      <c r="N157">
        <v>0.59201000000000004</v>
      </c>
      <c r="O157">
        <v>0.55191000000000001</v>
      </c>
      <c r="P157">
        <v>0.22628000000000001</v>
      </c>
      <c r="Q157">
        <v>0.67042000000000002</v>
      </c>
      <c r="R157">
        <v>2015</v>
      </c>
    </row>
    <row r="158" spans="3:18" x14ac:dyDescent="0.35">
      <c r="C158" t="s">
        <v>176</v>
      </c>
      <c r="D158" t="s">
        <v>91</v>
      </c>
      <c r="E158">
        <v>155</v>
      </c>
      <c r="F158">
        <v>3.34</v>
      </c>
      <c r="G158">
        <v>3.6560000000000002E-2</v>
      </c>
      <c r="J158">
        <v>0.28665000000000002</v>
      </c>
      <c r="K158">
        <v>0.35386000000000001</v>
      </c>
      <c r="M158">
        <v>0.31909999999999999</v>
      </c>
      <c r="N158">
        <v>0.48449999999999999</v>
      </c>
      <c r="O158">
        <v>8.0100000000000005E-2</v>
      </c>
      <c r="P158">
        <v>0.18260000000000001</v>
      </c>
      <c r="Q158">
        <v>1.6332800000000001</v>
      </c>
      <c r="R158">
        <v>2015</v>
      </c>
    </row>
    <row r="159" spans="3:18" x14ac:dyDescent="0.35">
      <c r="C159" t="s">
        <v>177</v>
      </c>
      <c r="D159" t="s">
        <v>26</v>
      </c>
      <c r="E159">
        <v>156</v>
      </c>
      <c r="F159">
        <v>3.0059999999999998</v>
      </c>
      <c r="G159">
        <v>5.015E-2</v>
      </c>
      <c r="J159">
        <v>0.66320000000000001</v>
      </c>
      <c r="K159">
        <v>0.47488999999999998</v>
      </c>
      <c r="M159">
        <v>0.72192999999999996</v>
      </c>
      <c r="N159">
        <v>0.15684000000000001</v>
      </c>
      <c r="O159">
        <v>0.18906000000000001</v>
      </c>
      <c r="P159">
        <v>0.47178999999999999</v>
      </c>
      <c r="Q159">
        <v>0.32857999999999998</v>
      </c>
      <c r="R159">
        <v>2015</v>
      </c>
    </row>
    <row r="160" spans="3:18" x14ac:dyDescent="0.35">
      <c r="C160" t="s">
        <v>178</v>
      </c>
      <c r="D160" t="s">
        <v>91</v>
      </c>
      <c r="E160">
        <v>157</v>
      </c>
      <c r="F160">
        <v>2.9049999999999998</v>
      </c>
      <c r="G160">
        <v>8.6580000000000004E-2</v>
      </c>
      <c r="J160">
        <v>1.5299999999999999E-2</v>
      </c>
      <c r="K160">
        <v>0.41587000000000002</v>
      </c>
      <c r="M160">
        <v>0.22395999999999999</v>
      </c>
      <c r="N160">
        <v>0.11849999999999999</v>
      </c>
      <c r="O160">
        <v>0.10062</v>
      </c>
      <c r="P160">
        <v>0.19727</v>
      </c>
      <c r="Q160">
        <v>1.8330200000000001</v>
      </c>
      <c r="R160">
        <v>2015</v>
      </c>
    </row>
    <row r="161" spans="3:18" x14ac:dyDescent="0.35">
      <c r="C161" t="s">
        <v>179</v>
      </c>
      <c r="D161" t="s">
        <v>91</v>
      </c>
      <c r="E161">
        <v>158</v>
      </c>
      <c r="F161">
        <v>2.839</v>
      </c>
      <c r="G161">
        <v>6.7269999999999996E-2</v>
      </c>
      <c r="J161">
        <v>0.20868</v>
      </c>
      <c r="K161">
        <v>0.13994999999999999</v>
      </c>
      <c r="M161">
        <v>0.28443000000000002</v>
      </c>
      <c r="N161">
        <v>0.36453000000000002</v>
      </c>
      <c r="O161">
        <v>0.10731</v>
      </c>
      <c r="P161">
        <v>0.16681000000000001</v>
      </c>
      <c r="Q161">
        <v>1.5672600000000001</v>
      </c>
      <c r="R161">
        <v>2015</v>
      </c>
    </row>
    <row r="162" spans="3:18" x14ac:dyDescent="0.35">
      <c r="C162" t="s">
        <v>15</v>
      </c>
      <c r="D162" t="s">
        <v>13</v>
      </c>
      <c r="E162">
        <v>1</v>
      </c>
      <c r="F162">
        <v>7.5259999999999998</v>
      </c>
      <c r="H162">
        <v>7.46</v>
      </c>
      <c r="I162">
        <v>7.5919999999999996</v>
      </c>
      <c r="J162">
        <v>1.4417800000000001</v>
      </c>
      <c r="K162">
        <v>1.16374</v>
      </c>
      <c r="M162">
        <v>0.79503999999999997</v>
      </c>
      <c r="N162">
        <v>0.57940999999999998</v>
      </c>
      <c r="O162">
        <v>0.44452999999999998</v>
      </c>
      <c r="P162">
        <v>0.36170999999999998</v>
      </c>
      <c r="Q162">
        <v>2.7393900000000002</v>
      </c>
      <c r="R162">
        <v>2016</v>
      </c>
    </row>
    <row r="163" spans="3:18" x14ac:dyDescent="0.35">
      <c r="C163" t="s">
        <v>12</v>
      </c>
      <c r="D163" t="s">
        <v>13</v>
      </c>
      <c r="E163">
        <v>2</v>
      </c>
      <c r="F163">
        <v>7.5090000000000003</v>
      </c>
      <c r="H163">
        <v>7.4279999999999999</v>
      </c>
      <c r="I163">
        <v>7.59</v>
      </c>
      <c r="J163">
        <v>1.5273300000000001</v>
      </c>
      <c r="K163">
        <v>1.14524</v>
      </c>
      <c r="M163">
        <v>0.86302999999999996</v>
      </c>
      <c r="N163">
        <v>0.58557000000000003</v>
      </c>
      <c r="O163">
        <v>0.41203000000000001</v>
      </c>
      <c r="P163">
        <v>0.28083000000000002</v>
      </c>
      <c r="Q163">
        <v>2.6946300000000001</v>
      </c>
      <c r="R163">
        <v>2016</v>
      </c>
    </row>
    <row r="164" spans="3:18" x14ac:dyDescent="0.35">
      <c r="C164" t="s">
        <v>14</v>
      </c>
      <c r="D164" t="s">
        <v>13</v>
      </c>
      <c r="E164">
        <v>3</v>
      </c>
      <c r="F164">
        <v>7.5010000000000003</v>
      </c>
      <c r="H164">
        <v>7.3330000000000002</v>
      </c>
      <c r="I164">
        <v>7.6689999999999996</v>
      </c>
      <c r="J164">
        <v>1.42666</v>
      </c>
      <c r="K164">
        <v>1.18326</v>
      </c>
      <c r="M164">
        <v>0.86733000000000005</v>
      </c>
      <c r="N164">
        <v>0.56623999999999997</v>
      </c>
      <c r="O164">
        <v>0.14974999999999999</v>
      </c>
      <c r="P164">
        <v>0.47677999999999998</v>
      </c>
      <c r="Q164">
        <v>2.8313700000000002</v>
      </c>
      <c r="R164">
        <v>2016</v>
      </c>
    </row>
    <row r="165" spans="3:18" x14ac:dyDescent="0.35">
      <c r="C165" t="s">
        <v>16</v>
      </c>
      <c r="D165" t="s">
        <v>13</v>
      </c>
      <c r="E165">
        <v>4</v>
      </c>
      <c r="F165">
        <v>7.4980000000000002</v>
      </c>
      <c r="H165">
        <v>7.4210000000000003</v>
      </c>
      <c r="I165">
        <v>7.5750000000000002</v>
      </c>
      <c r="J165">
        <v>1.57744</v>
      </c>
      <c r="K165">
        <v>1.1269</v>
      </c>
      <c r="M165">
        <v>0.79579</v>
      </c>
      <c r="N165">
        <v>0.59609000000000001</v>
      </c>
      <c r="O165">
        <v>0.35776000000000002</v>
      </c>
      <c r="P165">
        <v>0.37895000000000001</v>
      </c>
      <c r="Q165">
        <v>2.66465</v>
      </c>
      <c r="R165">
        <v>2016</v>
      </c>
    </row>
    <row r="166" spans="3:18" x14ac:dyDescent="0.35">
      <c r="C166" t="s">
        <v>19</v>
      </c>
      <c r="D166" t="s">
        <v>13</v>
      </c>
      <c r="E166">
        <v>5</v>
      </c>
      <c r="F166">
        <v>7.4130000000000003</v>
      </c>
      <c r="H166">
        <v>7.351</v>
      </c>
      <c r="I166">
        <v>7.4749999999999996</v>
      </c>
      <c r="J166">
        <v>1.40598</v>
      </c>
      <c r="K166">
        <v>1.1346400000000001</v>
      </c>
      <c r="M166">
        <v>0.81091000000000002</v>
      </c>
      <c r="N166">
        <v>0.57103999999999999</v>
      </c>
      <c r="O166">
        <v>0.41004000000000002</v>
      </c>
      <c r="P166">
        <v>0.25491999999999998</v>
      </c>
      <c r="Q166">
        <v>2.8259599999999998</v>
      </c>
      <c r="R166">
        <v>2016</v>
      </c>
    </row>
    <row r="167" spans="3:18" x14ac:dyDescent="0.35">
      <c r="C167" t="s">
        <v>17</v>
      </c>
      <c r="D167" t="s">
        <v>18</v>
      </c>
      <c r="E167">
        <v>6</v>
      </c>
      <c r="F167">
        <v>7.4039999999999999</v>
      </c>
      <c r="H167">
        <v>7.335</v>
      </c>
      <c r="I167">
        <v>7.4729999999999999</v>
      </c>
      <c r="J167">
        <v>1.44015</v>
      </c>
      <c r="K167">
        <v>1.0961000000000001</v>
      </c>
      <c r="M167">
        <v>0.8276</v>
      </c>
      <c r="N167">
        <v>0.57369999999999999</v>
      </c>
      <c r="O167">
        <v>0.31329000000000001</v>
      </c>
      <c r="P167">
        <v>0.44834000000000002</v>
      </c>
      <c r="Q167">
        <v>2.70485</v>
      </c>
      <c r="R167">
        <v>2016</v>
      </c>
    </row>
    <row r="168" spans="3:18" x14ac:dyDescent="0.35">
      <c r="C168" t="s">
        <v>20</v>
      </c>
      <c r="D168" t="s">
        <v>13</v>
      </c>
      <c r="E168">
        <v>7</v>
      </c>
      <c r="F168">
        <v>7.3390000000000004</v>
      </c>
      <c r="H168">
        <v>7.2839999999999998</v>
      </c>
      <c r="I168">
        <v>7.3940000000000001</v>
      </c>
      <c r="J168">
        <v>1.46468</v>
      </c>
      <c r="K168">
        <v>1.02912</v>
      </c>
      <c r="M168">
        <v>0.81230999999999998</v>
      </c>
      <c r="N168">
        <v>0.55210999999999999</v>
      </c>
      <c r="O168">
        <v>0.29926999999999998</v>
      </c>
      <c r="P168">
        <v>0.47416000000000003</v>
      </c>
      <c r="Q168">
        <v>2.70749</v>
      </c>
      <c r="R168">
        <v>2016</v>
      </c>
    </row>
    <row r="169" spans="3:18" x14ac:dyDescent="0.35">
      <c r="C169" t="s">
        <v>22</v>
      </c>
      <c r="D169" t="s">
        <v>23</v>
      </c>
      <c r="E169">
        <v>8</v>
      </c>
      <c r="F169">
        <v>7.3339999999999996</v>
      </c>
      <c r="H169">
        <v>7.2640000000000002</v>
      </c>
      <c r="I169">
        <v>7.4039999999999999</v>
      </c>
      <c r="J169">
        <v>1.36066</v>
      </c>
      <c r="K169">
        <v>1.1727799999999999</v>
      </c>
      <c r="M169">
        <v>0.83096000000000003</v>
      </c>
      <c r="N169">
        <v>0.58147000000000004</v>
      </c>
      <c r="O169">
        <v>0.41904000000000002</v>
      </c>
      <c r="P169">
        <v>0.49401</v>
      </c>
      <c r="Q169">
        <v>2.47553</v>
      </c>
      <c r="R169">
        <v>2016</v>
      </c>
    </row>
    <row r="170" spans="3:18" x14ac:dyDescent="0.35">
      <c r="C170" t="s">
        <v>24</v>
      </c>
      <c r="D170" t="s">
        <v>23</v>
      </c>
      <c r="E170">
        <v>9</v>
      </c>
      <c r="F170">
        <v>7.3129999999999997</v>
      </c>
      <c r="H170">
        <v>7.2409999999999997</v>
      </c>
      <c r="I170">
        <v>7.3849999999999998</v>
      </c>
      <c r="J170">
        <v>1.4444300000000001</v>
      </c>
      <c r="K170">
        <v>1.10476</v>
      </c>
      <c r="M170">
        <v>0.85119999999999996</v>
      </c>
      <c r="N170">
        <v>0.56837000000000004</v>
      </c>
      <c r="O170">
        <v>0.32330999999999999</v>
      </c>
      <c r="P170">
        <v>0.47406999999999999</v>
      </c>
      <c r="Q170">
        <v>2.5465</v>
      </c>
      <c r="R170">
        <v>2016</v>
      </c>
    </row>
    <row r="171" spans="3:18" x14ac:dyDescent="0.35">
      <c r="C171" t="s">
        <v>21</v>
      </c>
      <c r="D171" t="s">
        <v>13</v>
      </c>
      <c r="E171">
        <v>10</v>
      </c>
      <c r="F171">
        <v>7.2910000000000004</v>
      </c>
      <c r="H171">
        <v>7.2270000000000003</v>
      </c>
      <c r="I171">
        <v>7.3550000000000004</v>
      </c>
      <c r="J171">
        <v>1.45181</v>
      </c>
      <c r="K171">
        <v>1.0876399999999999</v>
      </c>
      <c r="M171">
        <v>0.83121</v>
      </c>
      <c r="N171">
        <v>0.58218000000000003</v>
      </c>
      <c r="O171">
        <v>0.40866999999999998</v>
      </c>
      <c r="P171">
        <v>0.38253999999999999</v>
      </c>
      <c r="Q171">
        <v>2.5473400000000002</v>
      </c>
      <c r="R171">
        <v>2016</v>
      </c>
    </row>
    <row r="172" spans="3:18" x14ac:dyDescent="0.35">
      <c r="C172" t="s">
        <v>25</v>
      </c>
      <c r="D172" t="s">
        <v>26</v>
      </c>
      <c r="E172">
        <v>11</v>
      </c>
      <c r="F172">
        <v>7.2670000000000003</v>
      </c>
      <c r="H172">
        <v>7.1989999999999998</v>
      </c>
      <c r="I172">
        <v>7.335</v>
      </c>
      <c r="J172">
        <v>1.3376600000000001</v>
      </c>
      <c r="K172">
        <v>0.99536999999999998</v>
      </c>
      <c r="M172">
        <v>0.84916999999999998</v>
      </c>
      <c r="N172">
        <v>0.36431999999999998</v>
      </c>
      <c r="O172">
        <v>8.7279999999999996E-2</v>
      </c>
      <c r="P172">
        <v>0.32288</v>
      </c>
      <c r="Q172">
        <v>3.3102900000000002</v>
      </c>
      <c r="R172">
        <v>2016</v>
      </c>
    </row>
    <row r="173" spans="3:18" x14ac:dyDescent="0.35">
      <c r="C173" t="s">
        <v>29</v>
      </c>
      <c r="D173" t="s">
        <v>13</v>
      </c>
      <c r="E173">
        <v>12</v>
      </c>
      <c r="F173">
        <v>7.1189999999999998</v>
      </c>
      <c r="H173">
        <v>7.0449999999999999</v>
      </c>
      <c r="I173">
        <v>7.1929999999999996</v>
      </c>
      <c r="J173">
        <v>1.45038</v>
      </c>
      <c r="K173">
        <v>1.0838300000000001</v>
      </c>
      <c r="M173">
        <v>0.80564999999999998</v>
      </c>
      <c r="N173">
        <v>0.54354999999999998</v>
      </c>
      <c r="O173">
        <v>0.21348</v>
      </c>
      <c r="P173">
        <v>0.32865</v>
      </c>
      <c r="Q173">
        <v>2.6934300000000002</v>
      </c>
      <c r="R173">
        <v>2016</v>
      </c>
    </row>
    <row r="174" spans="3:18" x14ac:dyDescent="0.35">
      <c r="C174" t="s">
        <v>31</v>
      </c>
      <c r="D174" t="s">
        <v>18</v>
      </c>
      <c r="E174">
        <v>13</v>
      </c>
      <c r="F174">
        <v>7.1040000000000001</v>
      </c>
      <c r="H174">
        <v>7.02</v>
      </c>
      <c r="I174">
        <v>7.1879999999999997</v>
      </c>
      <c r="J174">
        <v>1.50796</v>
      </c>
      <c r="K174">
        <v>1.04782</v>
      </c>
      <c r="M174">
        <v>0.77900000000000003</v>
      </c>
      <c r="N174">
        <v>0.48163</v>
      </c>
      <c r="O174">
        <v>0.14868000000000001</v>
      </c>
      <c r="P174">
        <v>0.41077000000000002</v>
      </c>
      <c r="Q174">
        <v>2.7278199999999999</v>
      </c>
      <c r="R174">
        <v>2016</v>
      </c>
    </row>
    <row r="175" spans="3:18" x14ac:dyDescent="0.35">
      <c r="C175" t="s">
        <v>27</v>
      </c>
      <c r="D175" t="s">
        <v>28</v>
      </c>
      <c r="E175">
        <v>14</v>
      </c>
      <c r="F175">
        <v>7.0869999999999997</v>
      </c>
      <c r="H175">
        <v>6.9989999999999997</v>
      </c>
      <c r="I175">
        <v>7.1749999999999998</v>
      </c>
      <c r="J175">
        <v>1.0687899999999999</v>
      </c>
      <c r="K175">
        <v>1.02152</v>
      </c>
      <c r="M175">
        <v>0.76146000000000003</v>
      </c>
      <c r="N175">
        <v>0.55225000000000002</v>
      </c>
      <c r="O175">
        <v>0.10546999999999999</v>
      </c>
      <c r="P175">
        <v>0.22553000000000001</v>
      </c>
      <c r="Q175">
        <v>3.35168</v>
      </c>
      <c r="R175">
        <v>2016</v>
      </c>
    </row>
    <row r="176" spans="3:18" x14ac:dyDescent="0.35">
      <c r="C176" t="s">
        <v>207</v>
      </c>
      <c r="D176" t="s">
        <v>28</v>
      </c>
      <c r="E176">
        <v>15</v>
      </c>
      <c r="F176">
        <v>7.0389999999999997</v>
      </c>
      <c r="H176">
        <v>6.7939999999999996</v>
      </c>
      <c r="I176">
        <v>7.2839999999999998</v>
      </c>
      <c r="J176">
        <v>1.3594299999999999</v>
      </c>
      <c r="K176">
        <v>1.0811299999999999</v>
      </c>
      <c r="M176">
        <v>0.77758000000000005</v>
      </c>
      <c r="N176">
        <v>0.46822999999999998</v>
      </c>
      <c r="O176">
        <v>0.12275</v>
      </c>
      <c r="P176">
        <v>0.22202</v>
      </c>
      <c r="Q176">
        <v>3.0076000000000001</v>
      </c>
      <c r="R176">
        <v>2016</v>
      </c>
    </row>
    <row r="177" spans="3:18" x14ac:dyDescent="0.35">
      <c r="C177" t="s">
        <v>43</v>
      </c>
      <c r="D177" t="s">
        <v>13</v>
      </c>
      <c r="E177">
        <v>16</v>
      </c>
      <c r="F177">
        <v>6.9939999999999998</v>
      </c>
      <c r="H177">
        <v>6.93</v>
      </c>
      <c r="I177">
        <v>7.0579999999999998</v>
      </c>
      <c r="J177">
        <v>1.44787</v>
      </c>
      <c r="K177">
        <v>1.0977399999999999</v>
      </c>
      <c r="M177">
        <v>0.81486999999999998</v>
      </c>
      <c r="N177">
        <v>0.53466000000000002</v>
      </c>
      <c r="O177">
        <v>0.28550999999999999</v>
      </c>
      <c r="P177">
        <v>0.30452000000000001</v>
      </c>
      <c r="Q177">
        <v>2.5093100000000002</v>
      </c>
      <c r="R177">
        <v>2016</v>
      </c>
    </row>
    <row r="178" spans="3:18" x14ac:dyDescent="0.35">
      <c r="C178" t="s">
        <v>32</v>
      </c>
      <c r="D178" t="s">
        <v>28</v>
      </c>
      <c r="E178">
        <v>17</v>
      </c>
      <c r="F178">
        <v>6.952</v>
      </c>
      <c r="H178">
        <v>6.875</v>
      </c>
      <c r="I178">
        <v>7.0289999999999999</v>
      </c>
      <c r="J178">
        <v>1.08754</v>
      </c>
      <c r="K178">
        <v>1.03938</v>
      </c>
      <c r="M178">
        <v>0.61414999999999997</v>
      </c>
      <c r="N178">
        <v>0.40425</v>
      </c>
      <c r="O178">
        <v>0.14166000000000001</v>
      </c>
      <c r="P178">
        <v>0.15776000000000001</v>
      </c>
      <c r="Q178">
        <v>3.5073300000000001</v>
      </c>
      <c r="R178">
        <v>2016</v>
      </c>
    </row>
    <row r="179" spans="3:18" x14ac:dyDescent="0.35">
      <c r="C179" t="s">
        <v>35</v>
      </c>
      <c r="D179" t="s">
        <v>13</v>
      </c>
      <c r="E179">
        <v>18</v>
      </c>
      <c r="F179">
        <v>6.9290000000000003</v>
      </c>
      <c r="H179">
        <v>6.8609999999999998</v>
      </c>
      <c r="I179">
        <v>6.9969999999999999</v>
      </c>
      <c r="J179">
        <v>1.4253899999999999</v>
      </c>
      <c r="K179">
        <v>1.0524899999999999</v>
      </c>
      <c r="M179">
        <v>0.81959000000000004</v>
      </c>
      <c r="N179">
        <v>0.51354</v>
      </c>
      <c r="O179">
        <v>0.26247999999999999</v>
      </c>
      <c r="P179">
        <v>0.2424</v>
      </c>
      <c r="Q179">
        <v>2.61355</v>
      </c>
      <c r="R179">
        <v>2016</v>
      </c>
    </row>
    <row r="180" spans="3:18" x14ac:dyDescent="0.35">
      <c r="C180" t="s">
        <v>34</v>
      </c>
      <c r="D180" t="s">
        <v>13</v>
      </c>
      <c r="E180">
        <v>19</v>
      </c>
      <c r="F180">
        <v>6.907</v>
      </c>
      <c r="H180">
        <v>6.8360000000000003</v>
      </c>
      <c r="I180">
        <v>6.9779999999999998</v>
      </c>
      <c r="J180">
        <v>1.4834099999999999</v>
      </c>
      <c r="K180">
        <v>1.16157</v>
      </c>
      <c r="M180">
        <v>0.81455</v>
      </c>
      <c r="N180">
        <v>0.54008</v>
      </c>
      <c r="O180">
        <v>0.29754000000000003</v>
      </c>
      <c r="P180">
        <v>0.44962999999999997</v>
      </c>
      <c r="Q180">
        <v>2.1598799999999998</v>
      </c>
      <c r="R180">
        <v>2016</v>
      </c>
    </row>
    <row r="181" spans="3:18" x14ac:dyDescent="0.35">
      <c r="C181" t="s">
        <v>33</v>
      </c>
      <c r="D181" t="s">
        <v>13</v>
      </c>
      <c r="E181">
        <v>20</v>
      </c>
      <c r="F181">
        <v>6.8710000000000004</v>
      </c>
      <c r="H181">
        <v>6.8040000000000003</v>
      </c>
      <c r="I181">
        <v>6.9379999999999997</v>
      </c>
      <c r="J181">
        <v>1.6975199999999999</v>
      </c>
      <c r="K181">
        <v>1.03999</v>
      </c>
      <c r="M181">
        <v>0.84541999999999995</v>
      </c>
      <c r="N181">
        <v>0.54869999999999997</v>
      </c>
      <c r="O181">
        <v>0.35328999999999999</v>
      </c>
      <c r="P181">
        <v>0.27571000000000001</v>
      </c>
      <c r="Q181">
        <v>2.1105499999999999</v>
      </c>
      <c r="R181">
        <v>2016</v>
      </c>
    </row>
    <row r="182" spans="3:18" x14ac:dyDescent="0.35">
      <c r="C182" t="s">
        <v>30</v>
      </c>
      <c r="D182" t="s">
        <v>28</v>
      </c>
      <c r="E182">
        <v>21</v>
      </c>
      <c r="F182">
        <v>6.7779999999999996</v>
      </c>
      <c r="H182">
        <v>6.68</v>
      </c>
      <c r="I182">
        <v>6.8760000000000003</v>
      </c>
      <c r="J182">
        <v>1.1150800000000001</v>
      </c>
      <c r="K182">
        <v>0.71460000000000001</v>
      </c>
      <c r="M182">
        <v>0.71143000000000001</v>
      </c>
      <c r="N182">
        <v>0.37708999999999998</v>
      </c>
      <c r="O182">
        <v>0.18354999999999999</v>
      </c>
      <c r="P182">
        <v>0.11735</v>
      </c>
      <c r="Q182">
        <v>3.5590600000000001</v>
      </c>
      <c r="R182">
        <v>2016</v>
      </c>
    </row>
    <row r="183" spans="3:18" x14ac:dyDescent="0.35">
      <c r="C183" t="s">
        <v>40</v>
      </c>
      <c r="D183" t="s">
        <v>41</v>
      </c>
      <c r="E183">
        <v>22</v>
      </c>
      <c r="F183">
        <v>6.7389999999999999</v>
      </c>
      <c r="H183">
        <v>6.6740000000000004</v>
      </c>
      <c r="I183">
        <v>6.8040000000000003</v>
      </c>
      <c r="J183">
        <v>1.6455500000000001</v>
      </c>
      <c r="K183">
        <v>0.86758000000000002</v>
      </c>
      <c r="M183">
        <v>0.94718999999999998</v>
      </c>
      <c r="N183">
        <v>0.48770000000000002</v>
      </c>
      <c r="O183">
        <v>0.46987000000000001</v>
      </c>
      <c r="P183">
        <v>0.32706000000000002</v>
      </c>
      <c r="Q183">
        <v>1.9937499999999999</v>
      </c>
      <c r="R183">
        <v>2016</v>
      </c>
    </row>
    <row r="184" spans="3:18" x14ac:dyDescent="0.35">
      <c r="C184" t="s">
        <v>37</v>
      </c>
      <c r="D184" t="s">
        <v>13</v>
      </c>
      <c r="E184">
        <v>23</v>
      </c>
      <c r="F184">
        <v>6.7249999999999996</v>
      </c>
      <c r="H184">
        <v>6.6470000000000002</v>
      </c>
      <c r="I184">
        <v>6.8029999999999999</v>
      </c>
      <c r="J184">
        <v>1.40283</v>
      </c>
      <c r="K184">
        <v>1.0867199999999999</v>
      </c>
      <c r="M184">
        <v>0.80991000000000002</v>
      </c>
      <c r="N184">
        <v>0.50036000000000003</v>
      </c>
      <c r="O184">
        <v>0.27399000000000001</v>
      </c>
      <c r="P184">
        <v>0.50156000000000001</v>
      </c>
      <c r="Q184">
        <v>2.1499899999999998</v>
      </c>
      <c r="R184">
        <v>2016</v>
      </c>
    </row>
    <row r="185" spans="3:18" x14ac:dyDescent="0.35">
      <c r="C185" t="s">
        <v>44</v>
      </c>
      <c r="D185" t="s">
        <v>28</v>
      </c>
      <c r="E185">
        <v>24</v>
      </c>
      <c r="F185">
        <v>6.7050000000000001</v>
      </c>
      <c r="H185">
        <v>6.6150000000000002</v>
      </c>
      <c r="I185">
        <v>6.7949999999999999</v>
      </c>
      <c r="J185">
        <v>1.2166999999999999</v>
      </c>
      <c r="K185">
        <v>0.90586999999999995</v>
      </c>
      <c r="M185">
        <v>0.81882999999999995</v>
      </c>
      <c r="N185">
        <v>0.37789</v>
      </c>
      <c r="O185">
        <v>0.11451</v>
      </c>
      <c r="P185">
        <v>0.31595000000000001</v>
      </c>
      <c r="Q185">
        <v>2.95505</v>
      </c>
      <c r="R185">
        <v>2016</v>
      </c>
    </row>
    <row r="186" spans="3:18" x14ac:dyDescent="0.35">
      <c r="C186" t="s">
        <v>42</v>
      </c>
      <c r="D186" t="s">
        <v>28</v>
      </c>
      <c r="E186">
        <v>25</v>
      </c>
      <c r="F186">
        <v>6.7009999999999996</v>
      </c>
      <c r="H186">
        <v>6.601</v>
      </c>
      <c r="I186">
        <v>6.8010000000000002</v>
      </c>
      <c r="J186">
        <v>1.18306</v>
      </c>
      <c r="K186">
        <v>0.98912</v>
      </c>
      <c r="M186">
        <v>0.70835000000000004</v>
      </c>
      <c r="N186">
        <v>0.48926999999999998</v>
      </c>
      <c r="O186">
        <v>8.4229999999999999E-2</v>
      </c>
      <c r="P186">
        <v>0.24179999999999999</v>
      </c>
      <c r="Q186">
        <v>3.0055900000000002</v>
      </c>
      <c r="R186">
        <v>2016</v>
      </c>
    </row>
    <row r="187" spans="3:18" x14ac:dyDescent="0.35">
      <c r="C187" t="s">
        <v>47</v>
      </c>
      <c r="D187" t="s">
        <v>28</v>
      </c>
      <c r="E187">
        <v>26</v>
      </c>
      <c r="F187">
        <v>6.65</v>
      </c>
      <c r="H187">
        <v>6.56</v>
      </c>
      <c r="I187">
        <v>6.74</v>
      </c>
      <c r="J187">
        <v>1.15137</v>
      </c>
      <c r="K187">
        <v>1.06612</v>
      </c>
      <c r="M187">
        <v>0.69711000000000001</v>
      </c>
      <c r="N187">
        <v>0.42283999999999999</v>
      </c>
      <c r="O187">
        <v>7.2959999999999997E-2</v>
      </c>
      <c r="P187">
        <v>0.10989</v>
      </c>
      <c r="Q187">
        <v>3.1298499999999998</v>
      </c>
      <c r="R187">
        <v>2016</v>
      </c>
    </row>
    <row r="188" spans="3:18" x14ac:dyDescent="0.35">
      <c r="C188" t="s">
        <v>48</v>
      </c>
      <c r="D188" t="s">
        <v>49</v>
      </c>
      <c r="E188">
        <v>27</v>
      </c>
      <c r="F188">
        <v>6.5960000000000001</v>
      </c>
      <c r="H188">
        <v>6.5149999999999997</v>
      </c>
      <c r="I188">
        <v>6.6769999999999996</v>
      </c>
      <c r="J188">
        <v>1.30915</v>
      </c>
      <c r="K188">
        <v>1.00793</v>
      </c>
      <c r="M188">
        <v>0.76375999999999999</v>
      </c>
      <c r="N188">
        <v>0.41417999999999999</v>
      </c>
      <c r="O188">
        <v>3.986E-2</v>
      </c>
      <c r="P188">
        <v>9.9290000000000003E-2</v>
      </c>
      <c r="Q188">
        <v>2.96211</v>
      </c>
      <c r="R188">
        <v>2016</v>
      </c>
    </row>
    <row r="189" spans="3:18" x14ac:dyDescent="0.35">
      <c r="C189" t="s">
        <v>36</v>
      </c>
      <c r="D189" t="s">
        <v>26</v>
      </c>
      <c r="E189">
        <v>28</v>
      </c>
      <c r="F189">
        <v>6.5730000000000004</v>
      </c>
      <c r="H189">
        <v>6.4939999999999998</v>
      </c>
      <c r="I189">
        <v>6.6520000000000001</v>
      </c>
      <c r="J189">
        <v>1.57352</v>
      </c>
      <c r="K189">
        <v>0.87114000000000003</v>
      </c>
      <c r="M189">
        <v>0.72992999999999997</v>
      </c>
      <c r="N189">
        <v>0.56215000000000004</v>
      </c>
      <c r="O189">
        <v>0.35560999999999998</v>
      </c>
      <c r="P189">
        <v>0.26590999999999998</v>
      </c>
      <c r="Q189">
        <v>2.2150699999999999</v>
      </c>
      <c r="R189">
        <v>2016</v>
      </c>
    </row>
    <row r="190" spans="3:18" x14ac:dyDescent="0.35">
      <c r="C190" t="s">
        <v>50</v>
      </c>
      <c r="D190" t="s">
        <v>28</v>
      </c>
      <c r="E190">
        <v>29</v>
      </c>
      <c r="F190">
        <v>6.5449999999999999</v>
      </c>
      <c r="H190">
        <v>6.4560000000000004</v>
      </c>
      <c r="I190">
        <v>6.6340000000000003</v>
      </c>
      <c r="J190">
        <v>1.18157</v>
      </c>
      <c r="K190">
        <v>1.0314300000000001</v>
      </c>
      <c r="M190">
        <v>0.72182999999999997</v>
      </c>
      <c r="N190">
        <v>0.54388000000000003</v>
      </c>
      <c r="O190">
        <v>0.21393999999999999</v>
      </c>
      <c r="P190">
        <v>0.18056</v>
      </c>
      <c r="Q190">
        <v>2.6713900000000002</v>
      </c>
      <c r="R190">
        <v>2016</v>
      </c>
    </row>
    <row r="191" spans="3:18" x14ac:dyDescent="0.35">
      <c r="C191" t="s">
        <v>55</v>
      </c>
      <c r="D191" t="s">
        <v>13</v>
      </c>
      <c r="E191">
        <v>30</v>
      </c>
      <c r="F191">
        <v>6.4880000000000004</v>
      </c>
      <c r="H191">
        <v>6.4089999999999998</v>
      </c>
      <c r="I191">
        <v>6.5670000000000002</v>
      </c>
      <c r="J191">
        <v>1.30782</v>
      </c>
      <c r="K191">
        <v>1.0987899999999999</v>
      </c>
      <c r="M191">
        <v>0.80315000000000003</v>
      </c>
      <c r="N191">
        <v>0.54993999999999998</v>
      </c>
      <c r="O191">
        <v>0.17554</v>
      </c>
      <c r="P191">
        <v>0.56237000000000004</v>
      </c>
      <c r="Q191">
        <v>1.9903200000000001</v>
      </c>
      <c r="R191">
        <v>2016</v>
      </c>
    </row>
    <row r="192" spans="3:18" x14ac:dyDescent="0.35">
      <c r="C192" t="s">
        <v>51</v>
      </c>
      <c r="D192" t="s">
        <v>28</v>
      </c>
      <c r="E192">
        <v>31</v>
      </c>
      <c r="F192">
        <v>6.4809999999999999</v>
      </c>
      <c r="H192">
        <v>6.3840000000000003</v>
      </c>
      <c r="I192">
        <v>6.5780000000000003</v>
      </c>
      <c r="J192">
        <v>1.0303199999999999</v>
      </c>
      <c r="K192">
        <v>1.02169</v>
      </c>
      <c r="M192">
        <v>0.59658999999999995</v>
      </c>
      <c r="N192">
        <v>0.44735000000000003</v>
      </c>
      <c r="O192">
        <v>5.3990000000000003E-2</v>
      </c>
      <c r="P192">
        <v>0.15626000000000001</v>
      </c>
      <c r="Q192">
        <v>3.1747100000000001</v>
      </c>
      <c r="R192">
        <v>2016</v>
      </c>
    </row>
    <row r="193" spans="3:18" x14ac:dyDescent="0.35">
      <c r="C193" t="s">
        <v>46</v>
      </c>
      <c r="D193" t="s">
        <v>13</v>
      </c>
      <c r="E193">
        <v>32</v>
      </c>
      <c r="F193">
        <v>6.4779999999999998</v>
      </c>
      <c r="H193">
        <v>6.3970000000000002</v>
      </c>
      <c r="I193">
        <v>6.5590000000000002</v>
      </c>
      <c r="J193">
        <v>1.3948799999999999</v>
      </c>
      <c r="K193">
        <v>1.00508</v>
      </c>
      <c r="M193">
        <v>0.83794999999999997</v>
      </c>
      <c r="N193">
        <v>0.46561999999999998</v>
      </c>
      <c r="O193">
        <v>0.17807999999999999</v>
      </c>
      <c r="P193">
        <v>0.1216</v>
      </c>
      <c r="Q193">
        <v>2.4744000000000002</v>
      </c>
      <c r="R193">
        <v>2016</v>
      </c>
    </row>
    <row r="194" spans="3:18" x14ac:dyDescent="0.35">
      <c r="C194" t="s">
        <v>52</v>
      </c>
      <c r="D194" t="s">
        <v>41</v>
      </c>
      <c r="E194">
        <v>33</v>
      </c>
      <c r="F194">
        <v>6.4740000000000002</v>
      </c>
      <c r="H194">
        <v>6.3959999999999999</v>
      </c>
      <c r="I194">
        <v>6.5519999999999996</v>
      </c>
      <c r="J194">
        <v>1.0892999999999999</v>
      </c>
      <c r="K194">
        <v>1.04477</v>
      </c>
      <c r="M194">
        <v>0.64915</v>
      </c>
      <c r="N194">
        <v>0.49553000000000003</v>
      </c>
      <c r="O194">
        <v>2.8330000000000001E-2</v>
      </c>
      <c r="P194">
        <v>0.58696000000000004</v>
      </c>
      <c r="Q194">
        <v>2.5796000000000001</v>
      </c>
      <c r="R194">
        <v>2016</v>
      </c>
    </row>
    <row r="195" spans="3:18" x14ac:dyDescent="0.35">
      <c r="C195" t="s">
        <v>53</v>
      </c>
      <c r="D195" t="s">
        <v>26</v>
      </c>
      <c r="E195">
        <v>34</v>
      </c>
      <c r="F195">
        <v>6.3789999999999996</v>
      </c>
      <c r="H195">
        <v>6.2869999999999999</v>
      </c>
      <c r="I195">
        <v>6.4710000000000001</v>
      </c>
      <c r="J195">
        <v>1.48953</v>
      </c>
      <c r="K195">
        <v>0.84828999999999999</v>
      </c>
      <c r="M195">
        <v>0.59267000000000003</v>
      </c>
      <c r="N195">
        <v>0.37903999999999999</v>
      </c>
      <c r="O195">
        <v>0.30008000000000001</v>
      </c>
      <c r="P195">
        <v>0.15457000000000001</v>
      </c>
      <c r="Q195">
        <v>2.6148199999999999</v>
      </c>
      <c r="R195">
        <v>2016</v>
      </c>
    </row>
    <row r="196" spans="3:18" x14ac:dyDescent="0.35">
      <c r="C196" t="s">
        <v>56</v>
      </c>
      <c r="D196" t="s">
        <v>57</v>
      </c>
      <c r="E196">
        <v>34</v>
      </c>
      <c r="F196">
        <v>6.3789999999999996</v>
      </c>
      <c r="H196">
        <v>6.3049999999999997</v>
      </c>
      <c r="I196">
        <v>6.4530000000000003</v>
      </c>
      <c r="J196">
        <v>1.3972899999999999</v>
      </c>
      <c r="K196">
        <v>0.92623999999999995</v>
      </c>
      <c r="M196">
        <v>0.79564999999999997</v>
      </c>
      <c r="N196">
        <v>0.32377</v>
      </c>
      <c r="O196">
        <v>6.6299999999999998E-2</v>
      </c>
      <c r="P196">
        <v>0.25495000000000001</v>
      </c>
      <c r="Q196">
        <v>2.6152299999999999</v>
      </c>
      <c r="R196">
        <v>2016</v>
      </c>
    </row>
    <row r="197" spans="3:18" x14ac:dyDescent="0.35">
      <c r="C197" t="s">
        <v>45</v>
      </c>
      <c r="D197" t="s">
        <v>26</v>
      </c>
      <c r="E197">
        <v>36</v>
      </c>
      <c r="F197">
        <v>6.375</v>
      </c>
      <c r="H197">
        <v>6.1779999999999999</v>
      </c>
      <c r="I197">
        <v>6.5720000000000001</v>
      </c>
      <c r="J197">
        <v>1.8242700000000001</v>
      </c>
      <c r="K197">
        <v>0.87963999999999998</v>
      </c>
      <c r="M197">
        <v>0.71723000000000003</v>
      </c>
      <c r="N197">
        <v>0.56679000000000002</v>
      </c>
      <c r="O197">
        <v>0.48048999999999997</v>
      </c>
      <c r="P197">
        <v>0.32388</v>
      </c>
      <c r="Q197">
        <v>1.5822400000000001</v>
      </c>
      <c r="R197">
        <v>2016</v>
      </c>
    </row>
    <row r="198" spans="3:18" x14ac:dyDescent="0.35">
      <c r="C198" t="s">
        <v>54</v>
      </c>
      <c r="D198" t="s">
        <v>13</v>
      </c>
      <c r="E198">
        <v>37</v>
      </c>
      <c r="F198">
        <v>6.3609999999999998</v>
      </c>
      <c r="H198">
        <v>6.2880000000000003</v>
      </c>
      <c r="I198">
        <v>6.4340000000000002</v>
      </c>
      <c r="J198">
        <v>1.34253</v>
      </c>
      <c r="K198">
        <v>1.1294500000000001</v>
      </c>
      <c r="M198">
        <v>0.87895999999999996</v>
      </c>
      <c r="N198">
        <v>0.37545000000000001</v>
      </c>
      <c r="O198">
        <v>6.1370000000000001E-2</v>
      </c>
      <c r="P198">
        <v>0.17665</v>
      </c>
      <c r="Q198">
        <v>2.39663</v>
      </c>
      <c r="R198">
        <v>2016</v>
      </c>
    </row>
    <row r="199" spans="3:18" x14ac:dyDescent="0.35">
      <c r="C199" t="s">
        <v>87</v>
      </c>
      <c r="D199" t="s">
        <v>26</v>
      </c>
      <c r="E199">
        <v>38</v>
      </c>
      <c r="F199">
        <v>6.3550000000000004</v>
      </c>
      <c r="H199">
        <v>6.2270000000000003</v>
      </c>
      <c r="I199">
        <v>6.4829999999999997</v>
      </c>
      <c r="J199">
        <v>1.0526599999999999</v>
      </c>
      <c r="K199">
        <v>0.83309</v>
      </c>
      <c r="M199">
        <v>0.61804000000000003</v>
      </c>
      <c r="N199">
        <v>0.21006</v>
      </c>
      <c r="O199">
        <v>0.16156999999999999</v>
      </c>
      <c r="P199">
        <v>7.0440000000000003E-2</v>
      </c>
      <c r="Q199">
        <v>3.4090400000000001</v>
      </c>
      <c r="R199">
        <v>2016</v>
      </c>
    </row>
    <row r="200" spans="3:18" x14ac:dyDescent="0.35">
      <c r="C200" t="s">
        <v>62</v>
      </c>
      <c r="D200" t="s">
        <v>28</v>
      </c>
      <c r="E200">
        <v>39</v>
      </c>
      <c r="F200">
        <v>6.3239999999999998</v>
      </c>
      <c r="H200">
        <v>6.2130000000000001</v>
      </c>
      <c r="I200">
        <v>6.4349999999999996</v>
      </c>
      <c r="J200">
        <v>0.83453999999999995</v>
      </c>
      <c r="K200">
        <v>0.87119000000000002</v>
      </c>
      <c r="M200">
        <v>0.54039000000000004</v>
      </c>
      <c r="N200">
        <v>0.50378999999999996</v>
      </c>
      <c r="O200">
        <v>8.7010000000000004E-2</v>
      </c>
      <c r="P200">
        <v>0.28808</v>
      </c>
      <c r="Q200">
        <v>3.1986300000000001</v>
      </c>
      <c r="R200">
        <v>2016</v>
      </c>
    </row>
    <row r="201" spans="3:18" x14ac:dyDescent="0.35">
      <c r="C201" t="s">
        <v>59</v>
      </c>
      <c r="D201" t="s">
        <v>28</v>
      </c>
      <c r="E201">
        <v>40</v>
      </c>
      <c r="F201">
        <v>6.2690000000000001</v>
      </c>
      <c r="H201">
        <v>6.0730000000000004</v>
      </c>
      <c r="I201">
        <v>6.4649999999999999</v>
      </c>
      <c r="J201">
        <v>1.0968599999999999</v>
      </c>
      <c r="K201">
        <v>0.77866000000000002</v>
      </c>
      <c r="M201">
        <v>0.50932999999999995</v>
      </c>
      <c r="N201">
        <v>0.52234000000000003</v>
      </c>
      <c r="O201">
        <v>0.12692000000000001</v>
      </c>
      <c r="P201">
        <v>0.16664999999999999</v>
      </c>
      <c r="Q201">
        <v>3.0685199999999999</v>
      </c>
      <c r="R201">
        <v>2016</v>
      </c>
    </row>
    <row r="202" spans="3:18" x14ac:dyDescent="0.35">
      <c r="C202" t="s">
        <v>58</v>
      </c>
      <c r="D202" t="s">
        <v>26</v>
      </c>
      <c r="E202">
        <v>41</v>
      </c>
      <c r="F202">
        <v>6.2389999999999999</v>
      </c>
      <c r="H202">
        <v>6.1539999999999999</v>
      </c>
      <c r="I202">
        <v>6.3239999999999998</v>
      </c>
      <c r="J202">
        <v>1.61714</v>
      </c>
      <c r="K202">
        <v>0.87758000000000003</v>
      </c>
      <c r="M202">
        <v>0.63568999999999998</v>
      </c>
      <c r="N202">
        <v>0.43165999999999999</v>
      </c>
      <c r="O202">
        <v>0.23669000000000001</v>
      </c>
      <c r="P202">
        <v>0.15964999999999999</v>
      </c>
      <c r="Q202">
        <v>2.28085</v>
      </c>
      <c r="R202">
        <v>2016</v>
      </c>
    </row>
    <row r="203" spans="3:18" x14ac:dyDescent="0.35">
      <c r="C203" t="s">
        <v>68</v>
      </c>
      <c r="D203" t="s">
        <v>26</v>
      </c>
      <c r="E203">
        <v>42</v>
      </c>
      <c r="F203">
        <v>6.218</v>
      </c>
      <c r="H203">
        <v>6.1280000000000001</v>
      </c>
      <c r="I203">
        <v>6.3079999999999998</v>
      </c>
      <c r="J203">
        <v>1.44024</v>
      </c>
      <c r="K203">
        <v>0.94396999999999998</v>
      </c>
      <c r="M203">
        <v>0.65695999999999999</v>
      </c>
      <c r="N203">
        <v>0.47375</v>
      </c>
      <c r="O203">
        <v>0.25772</v>
      </c>
      <c r="P203">
        <v>0.17147000000000001</v>
      </c>
      <c r="Q203">
        <v>2.2740499999999999</v>
      </c>
      <c r="R203">
        <v>2016</v>
      </c>
    </row>
    <row r="204" spans="3:18" x14ac:dyDescent="0.35">
      <c r="C204" t="s">
        <v>60</v>
      </c>
      <c r="D204" t="s">
        <v>28</v>
      </c>
      <c r="E204">
        <v>43</v>
      </c>
      <c r="F204">
        <v>6.1680000000000001</v>
      </c>
      <c r="H204">
        <v>5.95</v>
      </c>
      <c r="I204">
        <v>6.3860000000000001</v>
      </c>
      <c r="J204">
        <v>1.32572</v>
      </c>
      <c r="K204">
        <v>0.98568999999999996</v>
      </c>
      <c r="M204">
        <v>0.52607999999999999</v>
      </c>
      <c r="N204">
        <v>0.48453000000000002</v>
      </c>
      <c r="O204">
        <v>1.2409999999999999E-2</v>
      </c>
      <c r="P204">
        <v>0.31935000000000002</v>
      </c>
      <c r="Q204">
        <v>2.5139399999999998</v>
      </c>
      <c r="R204">
        <v>2016</v>
      </c>
    </row>
    <row r="205" spans="3:18" x14ac:dyDescent="0.35">
      <c r="C205" t="s">
        <v>39</v>
      </c>
      <c r="D205" t="s">
        <v>28</v>
      </c>
      <c r="E205">
        <v>44</v>
      </c>
      <c r="F205">
        <v>6.0839999999999996</v>
      </c>
      <c r="H205">
        <v>5.9729999999999999</v>
      </c>
      <c r="I205">
        <v>6.1950000000000003</v>
      </c>
      <c r="J205">
        <v>1.13367</v>
      </c>
      <c r="K205">
        <v>1.03302</v>
      </c>
      <c r="M205">
        <v>0.61904000000000003</v>
      </c>
      <c r="N205">
        <v>0.19847000000000001</v>
      </c>
      <c r="O205">
        <v>8.3040000000000003E-2</v>
      </c>
      <c r="P205">
        <v>4.2500000000000003E-2</v>
      </c>
      <c r="Q205">
        <v>2.9746800000000002</v>
      </c>
      <c r="R205">
        <v>2016</v>
      </c>
    </row>
    <row r="206" spans="3:18" x14ac:dyDescent="0.35">
      <c r="C206" t="s">
        <v>64</v>
      </c>
      <c r="D206" t="s">
        <v>49</v>
      </c>
      <c r="E206">
        <v>45</v>
      </c>
      <c r="F206">
        <v>6.0780000000000003</v>
      </c>
      <c r="H206">
        <v>5.9960000000000004</v>
      </c>
      <c r="I206">
        <v>6.16</v>
      </c>
      <c r="J206">
        <v>1.27973</v>
      </c>
      <c r="K206">
        <v>1.0826800000000001</v>
      </c>
      <c r="M206">
        <v>0.70367000000000002</v>
      </c>
      <c r="N206">
        <v>0.23391000000000001</v>
      </c>
      <c r="O206">
        <v>2.947E-2</v>
      </c>
      <c r="P206">
        <v>0.13836999999999999</v>
      </c>
      <c r="Q206">
        <v>2.6106500000000001</v>
      </c>
      <c r="R206">
        <v>2016</v>
      </c>
    </row>
    <row r="207" spans="3:18" x14ac:dyDescent="0.35">
      <c r="C207" t="s">
        <v>61</v>
      </c>
      <c r="D207" t="s">
        <v>28</v>
      </c>
      <c r="E207">
        <v>46</v>
      </c>
      <c r="F207">
        <v>6.0679999999999996</v>
      </c>
      <c r="H207">
        <v>5.9669999999999996</v>
      </c>
      <c r="I207">
        <v>6.1689999999999996</v>
      </c>
      <c r="J207">
        <v>0.87370000000000003</v>
      </c>
      <c r="K207">
        <v>0.80974999999999997</v>
      </c>
      <c r="M207">
        <v>0.59599999999999997</v>
      </c>
      <c r="N207">
        <v>0.37269000000000002</v>
      </c>
      <c r="O207">
        <v>0.10613</v>
      </c>
      <c r="P207">
        <v>8.8770000000000002E-2</v>
      </c>
      <c r="Q207">
        <v>3.2213400000000001</v>
      </c>
      <c r="R207">
        <v>2016</v>
      </c>
    </row>
    <row r="208" spans="3:18" x14ac:dyDescent="0.35">
      <c r="C208" t="s">
        <v>80</v>
      </c>
      <c r="D208" t="s">
        <v>41</v>
      </c>
      <c r="E208">
        <v>47</v>
      </c>
      <c r="F208">
        <v>6.0049999999999999</v>
      </c>
      <c r="H208">
        <v>5.9210000000000003</v>
      </c>
      <c r="I208">
        <v>6.0890000000000004</v>
      </c>
      <c r="J208">
        <v>1.25142</v>
      </c>
      <c r="K208">
        <v>0.88024999999999998</v>
      </c>
      <c r="M208">
        <v>0.62365999999999999</v>
      </c>
      <c r="N208">
        <v>0.39030999999999999</v>
      </c>
      <c r="O208">
        <v>9.0810000000000002E-2</v>
      </c>
      <c r="P208">
        <v>0.41474</v>
      </c>
      <c r="Q208">
        <v>2.3538399999999999</v>
      </c>
      <c r="R208">
        <v>2016</v>
      </c>
    </row>
    <row r="209" spans="3:18" x14ac:dyDescent="0.35">
      <c r="C209" t="s">
        <v>76</v>
      </c>
      <c r="D209" t="s">
        <v>28</v>
      </c>
      <c r="E209">
        <v>48</v>
      </c>
      <c r="F209">
        <v>5.992</v>
      </c>
      <c r="H209">
        <v>5.8769999999999998</v>
      </c>
      <c r="I209">
        <v>6.1070000000000002</v>
      </c>
      <c r="J209">
        <v>0.69384000000000001</v>
      </c>
      <c r="K209">
        <v>0.89520999999999995</v>
      </c>
      <c r="M209">
        <v>0.65212999999999999</v>
      </c>
      <c r="N209">
        <v>0.46582000000000001</v>
      </c>
      <c r="O209">
        <v>0.16292000000000001</v>
      </c>
      <c r="P209">
        <v>0.29772999999999999</v>
      </c>
      <c r="Q209">
        <v>2.8242799999999999</v>
      </c>
      <c r="R209">
        <v>2016</v>
      </c>
    </row>
    <row r="210" spans="3:18" x14ac:dyDescent="0.35">
      <c r="C210" t="s">
        <v>63</v>
      </c>
      <c r="D210" t="s">
        <v>49</v>
      </c>
      <c r="E210">
        <v>49</v>
      </c>
      <c r="F210">
        <v>5.9870000000000001</v>
      </c>
      <c r="H210">
        <v>5.8959999999999999</v>
      </c>
      <c r="I210">
        <v>6.0780000000000003</v>
      </c>
      <c r="J210">
        <v>0.73590999999999995</v>
      </c>
      <c r="K210">
        <v>1.1680999999999999</v>
      </c>
      <c r="M210">
        <v>0.50163000000000002</v>
      </c>
      <c r="N210">
        <v>0.60848000000000002</v>
      </c>
      <c r="O210">
        <v>0.28333000000000003</v>
      </c>
      <c r="P210">
        <v>0.34326000000000001</v>
      </c>
      <c r="Q210">
        <v>2.3463799999999999</v>
      </c>
      <c r="R210">
        <v>2016</v>
      </c>
    </row>
    <row r="211" spans="3:18" x14ac:dyDescent="0.35">
      <c r="C211" t="s">
        <v>69</v>
      </c>
      <c r="D211" t="s">
        <v>13</v>
      </c>
      <c r="E211">
        <v>50</v>
      </c>
      <c r="F211">
        <v>5.9770000000000003</v>
      </c>
      <c r="H211">
        <v>5.8979999999999997</v>
      </c>
      <c r="I211">
        <v>6.056</v>
      </c>
      <c r="J211">
        <v>1.3549500000000001</v>
      </c>
      <c r="K211">
        <v>1.0416700000000001</v>
      </c>
      <c r="M211">
        <v>0.85102</v>
      </c>
      <c r="N211">
        <v>0.18826999999999999</v>
      </c>
      <c r="O211">
        <v>2.5559999999999999E-2</v>
      </c>
      <c r="P211">
        <v>0.16683999999999999</v>
      </c>
      <c r="Q211">
        <v>2.34918</v>
      </c>
      <c r="R211">
        <v>2016</v>
      </c>
    </row>
    <row r="212" spans="3:18" x14ac:dyDescent="0.35">
      <c r="C212" t="s">
        <v>67</v>
      </c>
      <c r="D212" t="s">
        <v>28</v>
      </c>
      <c r="E212">
        <v>51</v>
      </c>
      <c r="F212">
        <v>5.976</v>
      </c>
      <c r="H212">
        <v>5.88</v>
      </c>
      <c r="I212">
        <v>6.0720000000000001</v>
      </c>
      <c r="J212">
        <v>0.97306000000000004</v>
      </c>
      <c r="K212">
        <v>0.85973999999999995</v>
      </c>
      <c r="M212">
        <v>0.68613000000000002</v>
      </c>
      <c r="N212">
        <v>0.4027</v>
      </c>
      <c r="O212">
        <v>0.18037</v>
      </c>
      <c r="P212">
        <v>0.10074</v>
      </c>
      <c r="Q212">
        <v>2.77366</v>
      </c>
      <c r="R212">
        <v>2016</v>
      </c>
    </row>
    <row r="213" spans="3:18" x14ac:dyDescent="0.35">
      <c r="C213" t="s">
        <v>208</v>
      </c>
      <c r="D213" t="s">
        <v>28</v>
      </c>
      <c r="E213">
        <v>52</v>
      </c>
      <c r="F213">
        <v>5.9560000000000004</v>
      </c>
      <c r="H213">
        <v>5.71</v>
      </c>
      <c r="I213">
        <v>6.202</v>
      </c>
      <c r="J213">
        <v>0.87616000000000005</v>
      </c>
      <c r="K213">
        <v>0.68654999999999999</v>
      </c>
      <c r="M213">
        <v>0.45568999999999998</v>
      </c>
      <c r="N213">
        <v>0.51231000000000004</v>
      </c>
      <c r="O213">
        <v>0.10771</v>
      </c>
      <c r="P213">
        <v>0.23683999999999999</v>
      </c>
      <c r="Q213">
        <v>3.08039</v>
      </c>
      <c r="R213">
        <v>2016</v>
      </c>
    </row>
    <row r="214" spans="3:18" x14ac:dyDescent="0.35">
      <c r="C214" t="s">
        <v>65</v>
      </c>
      <c r="D214" t="s">
        <v>57</v>
      </c>
      <c r="E214">
        <v>53</v>
      </c>
      <c r="F214">
        <v>5.9210000000000003</v>
      </c>
      <c r="H214">
        <v>5.85</v>
      </c>
      <c r="I214">
        <v>5.992</v>
      </c>
      <c r="J214">
        <v>1.3800699999999999</v>
      </c>
      <c r="K214">
        <v>1.06054</v>
      </c>
      <c r="M214">
        <v>0.91491</v>
      </c>
      <c r="N214">
        <v>0.46761000000000003</v>
      </c>
      <c r="O214">
        <v>0.18984999999999999</v>
      </c>
      <c r="P214">
        <v>0.10224</v>
      </c>
      <c r="Q214">
        <v>1.8058399999999999</v>
      </c>
      <c r="R214">
        <v>2016</v>
      </c>
    </row>
    <row r="215" spans="3:18" x14ac:dyDescent="0.35">
      <c r="C215" t="s">
        <v>73</v>
      </c>
      <c r="D215" t="s">
        <v>49</v>
      </c>
      <c r="E215">
        <v>54</v>
      </c>
      <c r="F215">
        <v>5.9189999999999996</v>
      </c>
      <c r="H215">
        <v>5.8369999999999997</v>
      </c>
      <c r="I215">
        <v>6.0010000000000003</v>
      </c>
      <c r="J215">
        <v>1.22943</v>
      </c>
      <c r="K215">
        <v>0.95543999999999996</v>
      </c>
      <c r="M215">
        <v>0.57386000000000004</v>
      </c>
      <c r="N215">
        <v>0.4052</v>
      </c>
      <c r="O215">
        <v>0.11132</v>
      </c>
      <c r="P215">
        <v>0.15010999999999999</v>
      </c>
      <c r="Q215">
        <v>2.4932500000000002</v>
      </c>
      <c r="R215">
        <v>2016</v>
      </c>
    </row>
    <row r="216" spans="3:18" x14ac:dyDescent="0.35">
      <c r="C216" t="s">
        <v>71</v>
      </c>
      <c r="D216" t="s">
        <v>49</v>
      </c>
      <c r="E216">
        <v>55</v>
      </c>
      <c r="F216">
        <v>5.8970000000000002</v>
      </c>
      <c r="H216">
        <v>5.8230000000000004</v>
      </c>
      <c r="I216">
        <v>5.9710000000000001</v>
      </c>
      <c r="J216">
        <v>0.69177</v>
      </c>
      <c r="K216">
        <v>0.83131999999999995</v>
      </c>
      <c r="M216">
        <v>0.52309000000000005</v>
      </c>
      <c r="N216">
        <v>0.25202000000000002</v>
      </c>
      <c r="O216">
        <v>1.9029999999999998E-2</v>
      </c>
      <c r="P216">
        <v>0.19997000000000001</v>
      </c>
      <c r="Q216">
        <v>3.3800699999999999</v>
      </c>
      <c r="R216">
        <v>2016</v>
      </c>
    </row>
    <row r="217" spans="3:18" x14ac:dyDescent="0.35">
      <c r="C217" t="s">
        <v>83</v>
      </c>
      <c r="D217" t="s">
        <v>49</v>
      </c>
      <c r="E217">
        <v>56</v>
      </c>
      <c r="F217">
        <v>5.8559999999999999</v>
      </c>
      <c r="H217">
        <v>5.7889999999999997</v>
      </c>
      <c r="I217">
        <v>5.923</v>
      </c>
      <c r="J217">
        <v>1.23228</v>
      </c>
      <c r="K217">
        <v>1.05261</v>
      </c>
      <c r="M217">
        <v>0.58991000000000005</v>
      </c>
      <c r="N217">
        <v>0.32682</v>
      </c>
      <c r="O217">
        <v>3.5860000000000003E-2</v>
      </c>
      <c r="P217">
        <v>2.7359999999999999E-2</v>
      </c>
      <c r="Q217">
        <v>2.5911499999999998</v>
      </c>
      <c r="R217">
        <v>2016</v>
      </c>
    </row>
    <row r="218" spans="3:18" x14ac:dyDescent="0.35">
      <c r="C218" t="s">
        <v>79</v>
      </c>
      <c r="D218" t="s">
        <v>49</v>
      </c>
      <c r="E218">
        <v>57</v>
      </c>
      <c r="F218">
        <v>5.835</v>
      </c>
      <c r="H218">
        <v>5.7489999999999997</v>
      </c>
      <c r="I218">
        <v>5.9210000000000003</v>
      </c>
      <c r="J218">
        <v>1.2458499999999999</v>
      </c>
      <c r="K218">
        <v>1.0468500000000001</v>
      </c>
      <c r="M218">
        <v>0.69057999999999997</v>
      </c>
      <c r="N218">
        <v>0.45190000000000002</v>
      </c>
      <c r="O218">
        <v>5.5E-2</v>
      </c>
      <c r="P218">
        <v>0.14443</v>
      </c>
      <c r="Q218">
        <v>2.2003499999999998</v>
      </c>
      <c r="R218">
        <v>2016</v>
      </c>
    </row>
    <row r="219" spans="3:18" x14ac:dyDescent="0.35">
      <c r="C219" t="s">
        <v>66</v>
      </c>
      <c r="D219" t="s">
        <v>57</v>
      </c>
      <c r="E219">
        <v>57</v>
      </c>
      <c r="F219">
        <v>5.835</v>
      </c>
      <c r="H219">
        <v>5.7469999999999999</v>
      </c>
      <c r="I219">
        <v>5.923</v>
      </c>
      <c r="J219">
        <v>1.35948</v>
      </c>
      <c r="K219">
        <v>0.72194000000000003</v>
      </c>
      <c r="M219">
        <v>0.88644999999999996</v>
      </c>
      <c r="N219">
        <v>0.25168000000000001</v>
      </c>
      <c r="O219">
        <v>7.7160000000000006E-2</v>
      </c>
      <c r="P219">
        <v>0.18823999999999999</v>
      </c>
      <c r="Q219">
        <v>2.3501500000000002</v>
      </c>
      <c r="R219">
        <v>2016</v>
      </c>
    </row>
    <row r="220" spans="3:18" x14ac:dyDescent="0.35">
      <c r="C220" t="s">
        <v>70</v>
      </c>
      <c r="D220" t="s">
        <v>28</v>
      </c>
      <c r="E220">
        <v>59</v>
      </c>
      <c r="F220">
        <v>5.8220000000000001</v>
      </c>
      <c r="H220">
        <v>5.74</v>
      </c>
      <c r="I220">
        <v>5.9039999999999999</v>
      </c>
      <c r="J220">
        <v>0.79422000000000004</v>
      </c>
      <c r="K220">
        <v>0.83779000000000003</v>
      </c>
      <c r="M220">
        <v>0.46970000000000001</v>
      </c>
      <c r="N220">
        <v>0.50961000000000001</v>
      </c>
      <c r="O220">
        <v>7.7460000000000001E-2</v>
      </c>
      <c r="P220">
        <v>0.21698000000000001</v>
      </c>
      <c r="Q220">
        <v>2.91635</v>
      </c>
      <c r="R220">
        <v>2016</v>
      </c>
    </row>
    <row r="221" spans="3:18" x14ac:dyDescent="0.35">
      <c r="C221" t="s">
        <v>75</v>
      </c>
      <c r="D221" t="s">
        <v>49</v>
      </c>
      <c r="E221">
        <v>60</v>
      </c>
      <c r="F221">
        <v>5.8129999999999997</v>
      </c>
      <c r="H221">
        <v>5.734</v>
      </c>
      <c r="I221">
        <v>5.8920000000000003</v>
      </c>
      <c r="J221">
        <v>1.2692000000000001</v>
      </c>
      <c r="K221">
        <v>1.0641099999999999</v>
      </c>
      <c r="M221">
        <v>0.64673999999999998</v>
      </c>
      <c r="N221">
        <v>0.18929000000000001</v>
      </c>
      <c r="O221">
        <v>1.8200000000000001E-2</v>
      </c>
      <c r="P221">
        <v>2.0250000000000001E-2</v>
      </c>
      <c r="Q221">
        <v>2.6052499999999998</v>
      </c>
      <c r="R221">
        <v>2016</v>
      </c>
    </row>
    <row r="222" spans="3:18" x14ac:dyDescent="0.35">
      <c r="C222" t="s">
        <v>78</v>
      </c>
      <c r="D222" t="s">
        <v>49</v>
      </c>
      <c r="E222">
        <v>61</v>
      </c>
      <c r="F222">
        <v>5.8019999999999996</v>
      </c>
      <c r="H222">
        <v>5.7229999999999999</v>
      </c>
      <c r="I222">
        <v>5.8810000000000002</v>
      </c>
      <c r="J222">
        <v>1.13062</v>
      </c>
      <c r="K222">
        <v>1.04993</v>
      </c>
      <c r="M222">
        <v>0.63104000000000005</v>
      </c>
      <c r="N222">
        <v>0.29091</v>
      </c>
      <c r="O222">
        <v>0.17457</v>
      </c>
      <c r="P222">
        <v>0.13941999999999999</v>
      </c>
      <c r="Q222">
        <v>2.3858199999999998</v>
      </c>
      <c r="R222">
        <v>2016</v>
      </c>
    </row>
    <row r="223" spans="3:18" x14ac:dyDescent="0.35">
      <c r="C223" t="s">
        <v>85</v>
      </c>
      <c r="D223" t="s">
        <v>13</v>
      </c>
      <c r="E223">
        <v>62</v>
      </c>
      <c r="F223">
        <v>5.7709999999999999</v>
      </c>
      <c r="H223">
        <v>5.67</v>
      </c>
      <c r="I223">
        <v>5.8719999999999999</v>
      </c>
      <c r="J223">
        <v>1.31141</v>
      </c>
      <c r="K223">
        <v>0.81825999999999999</v>
      </c>
      <c r="M223">
        <v>0.84141999999999995</v>
      </c>
      <c r="N223">
        <v>0.43596000000000001</v>
      </c>
      <c r="O223">
        <v>0.16578000000000001</v>
      </c>
      <c r="P223">
        <v>0.26322000000000001</v>
      </c>
      <c r="Q223">
        <v>1.9344699999999999</v>
      </c>
      <c r="R223">
        <v>2016</v>
      </c>
    </row>
    <row r="224" spans="3:18" x14ac:dyDescent="0.35">
      <c r="C224" t="s">
        <v>74</v>
      </c>
      <c r="D224" t="s">
        <v>49</v>
      </c>
      <c r="E224">
        <v>63</v>
      </c>
      <c r="F224">
        <v>5.7679999999999998</v>
      </c>
      <c r="H224">
        <v>5.6829999999999998</v>
      </c>
      <c r="I224">
        <v>5.8529999999999998</v>
      </c>
      <c r="J224">
        <v>1.2994699999999999</v>
      </c>
      <c r="K224">
        <v>1.05613</v>
      </c>
      <c r="M224">
        <v>0.79151000000000005</v>
      </c>
      <c r="N224">
        <v>0.53164</v>
      </c>
      <c r="O224">
        <v>3.635E-2</v>
      </c>
      <c r="P224">
        <v>0.25738</v>
      </c>
      <c r="Q224">
        <v>1.79522</v>
      </c>
      <c r="R224">
        <v>2016</v>
      </c>
    </row>
    <row r="225" spans="3:18" x14ac:dyDescent="0.35">
      <c r="C225" t="s">
        <v>77</v>
      </c>
      <c r="D225" t="s">
        <v>28</v>
      </c>
      <c r="E225">
        <v>64</v>
      </c>
      <c r="F225">
        <v>5.7430000000000003</v>
      </c>
      <c r="H225">
        <v>5.6470000000000002</v>
      </c>
      <c r="I225">
        <v>5.8390000000000004</v>
      </c>
      <c r="J225">
        <v>0.99602000000000002</v>
      </c>
      <c r="K225">
        <v>0.81254999999999999</v>
      </c>
      <c r="M225">
        <v>0.62994000000000006</v>
      </c>
      <c r="N225">
        <v>0.37502000000000002</v>
      </c>
      <c r="O225">
        <v>5.2920000000000002E-2</v>
      </c>
      <c r="P225">
        <v>0.14527000000000001</v>
      </c>
      <c r="Q225">
        <v>2.7311700000000001</v>
      </c>
      <c r="R225">
        <v>2016</v>
      </c>
    </row>
    <row r="226" spans="3:18" x14ac:dyDescent="0.35">
      <c r="C226" t="s">
        <v>89</v>
      </c>
      <c r="D226" t="s">
        <v>49</v>
      </c>
      <c r="E226">
        <v>65</v>
      </c>
      <c r="F226">
        <v>5.6580000000000004</v>
      </c>
      <c r="H226">
        <v>5.58</v>
      </c>
      <c r="I226">
        <v>5.7359999999999998</v>
      </c>
      <c r="J226">
        <v>1.0801700000000001</v>
      </c>
      <c r="K226">
        <v>1.03817</v>
      </c>
      <c r="M226">
        <v>0.44006000000000001</v>
      </c>
      <c r="N226">
        <v>0.37408000000000002</v>
      </c>
      <c r="O226">
        <v>0.28466999999999998</v>
      </c>
      <c r="P226">
        <v>0.22567000000000001</v>
      </c>
      <c r="Q226">
        <v>2.21489</v>
      </c>
      <c r="R226">
        <v>2016</v>
      </c>
    </row>
    <row r="227" spans="3:18" x14ac:dyDescent="0.35">
      <c r="C227" t="s">
        <v>90</v>
      </c>
      <c r="D227" t="s">
        <v>91</v>
      </c>
      <c r="E227">
        <v>66</v>
      </c>
      <c r="F227">
        <v>5.6479999999999997</v>
      </c>
      <c r="H227">
        <v>5.5069999999999997</v>
      </c>
      <c r="I227">
        <v>5.7889999999999997</v>
      </c>
      <c r="J227">
        <v>1.1437200000000001</v>
      </c>
      <c r="K227">
        <v>0.75695000000000001</v>
      </c>
      <c r="M227">
        <v>0.66188999999999998</v>
      </c>
      <c r="N227">
        <v>0.46145000000000003</v>
      </c>
      <c r="O227">
        <v>5.203E-2</v>
      </c>
      <c r="P227">
        <v>0.36951000000000001</v>
      </c>
      <c r="Q227">
        <v>2.2022300000000001</v>
      </c>
      <c r="R227">
        <v>2016</v>
      </c>
    </row>
    <row r="228" spans="3:18" x14ac:dyDescent="0.35">
      <c r="C228" t="s">
        <v>82</v>
      </c>
      <c r="D228" t="s">
        <v>26</v>
      </c>
      <c r="E228">
        <v>67</v>
      </c>
      <c r="F228">
        <v>5.6150000000000002</v>
      </c>
      <c r="H228">
        <v>5.4059999999999997</v>
      </c>
      <c r="I228">
        <v>5.8239999999999998</v>
      </c>
      <c r="J228">
        <v>1.0668800000000001</v>
      </c>
      <c r="K228">
        <v>0.95076000000000005</v>
      </c>
      <c r="M228">
        <v>0.52303999999999995</v>
      </c>
      <c r="N228">
        <v>0.40672000000000003</v>
      </c>
      <c r="O228">
        <v>0.10339</v>
      </c>
      <c r="P228">
        <v>0.17086999999999999</v>
      </c>
      <c r="Q228">
        <v>2.3937400000000002</v>
      </c>
      <c r="R228">
        <v>2016</v>
      </c>
    </row>
    <row r="229" spans="3:18" x14ac:dyDescent="0.35">
      <c r="C229" t="s">
        <v>110</v>
      </c>
      <c r="D229" t="s">
        <v>49</v>
      </c>
      <c r="E229">
        <v>68</v>
      </c>
      <c r="F229">
        <v>5.56</v>
      </c>
      <c r="H229">
        <v>5.4859999999999998</v>
      </c>
      <c r="I229">
        <v>5.6340000000000003</v>
      </c>
      <c r="J229">
        <v>1.2178800000000001</v>
      </c>
      <c r="K229">
        <v>0.95025000000000004</v>
      </c>
      <c r="M229">
        <v>0.63951999999999998</v>
      </c>
      <c r="N229">
        <v>0.27995999999999999</v>
      </c>
      <c r="O229">
        <v>8.8900000000000007E-2</v>
      </c>
      <c r="P229">
        <v>0.17444999999999999</v>
      </c>
      <c r="Q229">
        <v>2.2085900000000001</v>
      </c>
      <c r="R229">
        <v>2016</v>
      </c>
    </row>
    <row r="230" spans="3:18" x14ac:dyDescent="0.35">
      <c r="C230" t="s">
        <v>86</v>
      </c>
      <c r="D230" t="s">
        <v>13</v>
      </c>
      <c r="E230">
        <v>69</v>
      </c>
      <c r="F230">
        <v>5.5460000000000003</v>
      </c>
      <c r="H230">
        <v>5.4420000000000002</v>
      </c>
      <c r="I230">
        <v>5.65</v>
      </c>
      <c r="J230">
        <v>1.31857</v>
      </c>
      <c r="K230">
        <v>0.70696999999999999</v>
      </c>
      <c r="M230">
        <v>0.8488</v>
      </c>
      <c r="N230">
        <v>0.29507</v>
      </c>
      <c r="O230">
        <v>5.228E-2</v>
      </c>
      <c r="P230">
        <v>0.27905999999999997</v>
      </c>
      <c r="Q230">
        <v>2.0449700000000002</v>
      </c>
      <c r="R230">
        <v>2016</v>
      </c>
    </row>
    <row r="231" spans="3:18" x14ac:dyDescent="0.35">
      <c r="C231" t="s">
        <v>72</v>
      </c>
      <c r="D231" t="s">
        <v>28</v>
      </c>
      <c r="E231">
        <v>70</v>
      </c>
      <c r="F231">
        <v>5.5380000000000003</v>
      </c>
      <c r="H231">
        <v>5.4530000000000003</v>
      </c>
      <c r="I231">
        <v>5.6230000000000002</v>
      </c>
      <c r="J231">
        <v>0.89373000000000002</v>
      </c>
      <c r="K231">
        <v>1.11111</v>
      </c>
      <c r="M231">
        <v>0.58294999999999997</v>
      </c>
      <c r="N231">
        <v>0.46234999999999998</v>
      </c>
      <c r="O231">
        <v>7.3959999999999998E-2</v>
      </c>
      <c r="P231">
        <v>0.25296000000000002</v>
      </c>
      <c r="Q231">
        <v>2.1609099999999999</v>
      </c>
      <c r="R231">
        <v>2016</v>
      </c>
    </row>
    <row r="232" spans="3:18" x14ac:dyDescent="0.35">
      <c r="C232" t="s">
        <v>107</v>
      </c>
      <c r="D232" t="s">
        <v>49</v>
      </c>
      <c r="E232">
        <v>71</v>
      </c>
      <c r="F232">
        <v>5.5279999999999996</v>
      </c>
      <c r="H232">
        <v>5.4269999999999996</v>
      </c>
      <c r="I232">
        <v>5.6289999999999996</v>
      </c>
      <c r="J232">
        <v>1.1697</v>
      </c>
      <c r="K232">
        <v>0.72802999999999995</v>
      </c>
      <c r="M232">
        <v>0.67601999999999995</v>
      </c>
      <c r="N232">
        <v>0.36712</v>
      </c>
      <c r="O232">
        <v>6.79E-3</v>
      </c>
      <c r="P232">
        <v>0.12889</v>
      </c>
      <c r="Q232">
        <v>2.4518399999999998</v>
      </c>
      <c r="R232">
        <v>2016</v>
      </c>
    </row>
    <row r="233" spans="3:18" x14ac:dyDescent="0.35">
      <c r="C233" t="s">
        <v>93</v>
      </c>
      <c r="D233" t="s">
        <v>49</v>
      </c>
      <c r="E233">
        <v>72</v>
      </c>
      <c r="F233">
        <v>5.5170000000000003</v>
      </c>
      <c r="H233">
        <v>5.4370000000000003</v>
      </c>
      <c r="I233">
        <v>5.5970000000000004</v>
      </c>
      <c r="J233">
        <v>1.2796400000000001</v>
      </c>
      <c r="K233">
        <v>1.0516300000000001</v>
      </c>
      <c r="M233">
        <v>0.68098000000000003</v>
      </c>
      <c r="N233">
        <v>0.41510999999999998</v>
      </c>
      <c r="O233">
        <v>0.18518999999999999</v>
      </c>
      <c r="P233">
        <v>8.4229999999999999E-2</v>
      </c>
      <c r="Q233">
        <v>1.81985</v>
      </c>
      <c r="R233">
        <v>2016</v>
      </c>
    </row>
    <row r="234" spans="3:18" x14ac:dyDescent="0.35">
      <c r="C234" t="s">
        <v>84</v>
      </c>
      <c r="D234" t="s">
        <v>28</v>
      </c>
      <c r="E234">
        <v>73</v>
      </c>
      <c r="F234">
        <v>5.51</v>
      </c>
      <c r="H234">
        <v>5.3150000000000004</v>
      </c>
      <c r="I234">
        <v>5.7050000000000001</v>
      </c>
      <c r="J234">
        <v>0.89332999999999996</v>
      </c>
      <c r="K234">
        <v>0.96372000000000002</v>
      </c>
      <c r="M234">
        <v>0.59469000000000005</v>
      </c>
      <c r="N234">
        <v>0.43597000000000002</v>
      </c>
      <c r="O234">
        <v>4.2939999999999999E-2</v>
      </c>
      <c r="P234">
        <v>0.22245000000000001</v>
      </c>
      <c r="Q234">
        <v>2.3568199999999999</v>
      </c>
      <c r="R234">
        <v>2016</v>
      </c>
    </row>
    <row r="235" spans="3:18" x14ac:dyDescent="0.35">
      <c r="C235" t="s">
        <v>81</v>
      </c>
      <c r="D235" t="s">
        <v>49</v>
      </c>
      <c r="E235">
        <v>74</v>
      </c>
      <c r="F235">
        <v>5.4880000000000004</v>
      </c>
      <c r="H235">
        <v>5.4020000000000001</v>
      </c>
      <c r="I235">
        <v>5.5739999999999998</v>
      </c>
      <c r="J235">
        <v>1.18649</v>
      </c>
      <c r="K235">
        <v>0.60809000000000002</v>
      </c>
      <c r="M235">
        <v>0.70523999999999998</v>
      </c>
      <c r="N235">
        <v>0.23907</v>
      </c>
      <c r="O235">
        <v>4.002E-2</v>
      </c>
      <c r="P235">
        <v>0.18434</v>
      </c>
      <c r="Q235">
        <v>2.5246200000000001</v>
      </c>
      <c r="R235">
        <v>2016</v>
      </c>
    </row>
    <row r="236" spans="3:18" x14ac:dyDescent="0.35">
      <c r="C236" t="s">
        <v>92</v>
      </c>
      <c r="D236" t="s">
        <v>57</v>
      </c>
      <c r="E236">
        <v>75</v>
      </c>
      <c r="F236">
        <v>5.4580000000000002</v>
      </c>
      <c r="H236">
        <v>5.3620000000000001</v>
      </c>
      <c r="I236">
        <v>5.5540000000000003</v>
      </c>
      <c r="J236">
        <v>1.5106999999999999</v>
      </c>
      <c r="K236">
        <v>0.87021000000000004</v>
      </c>
      <c r="M236">
        <v>0.95277000000000001</v>
      </c>
      <c r="N236">
        <v>0.48079</v>
      </c>
      <c r="O236">
        <v>0.31646999999999997</v>
      </c>
      <c r="P236">
        <v>0.40096999999999999</v>
      </c>
      <c r="Q236">
        <v>0.92613999999999996</v>
      </c>
      <c r="R236">
        <v>2016</v>
      </c>
    </row>
    <row r="237" spans="3:18" x14ac:dyDescent="0.35">
      <c r="C237" t="s">
        <v>209</v>
      </c>
      <c r="D237" t="s">
        <v>91</v>
      </c>
      <c r="E237">
        <v>76</v>
      </c>
      <c r="F237">
        <v>5.44</v>
      </c>
      <c r="H237">
        <v>5.3209999999999997</v>
      </c>
      <c r="I237">
        <v>5.5590000000000002</v>
      </c>
      <c r="J237">
        <v>0</v>
      </c>
      <c r="K237">
        <v>0.33612999999999998</v>
      </c>
      <c r="M237">
        <v>0.11466</v>
      </c>
      <c r="N237">
        <v>0.56777999999999995</v>
      </c>
      <c r="O237">
        <v>0.31180000000000002</v>
      </c>
      <c r="P237">
        <v>0.27224999999999999</v>
      </c>
      <c r="Q237">
        <v>3.83772</v>
      </c>
      <c r="R237">
        <v>2016</v>
      </c>
    </row>
    <row r="238" spans="3:18" x14ac:dyDescent="0.35">
      <c r="C238" t="s">
        <v>88</v>
      </c>
      <c r="D238" t="s">
        <v>49</v>
      </c>
      <c r="E238">
        <v>77</v>
      </c>
      <c r="F238">
        <v>5.4009999999999998</v>
      </c>
      <c r="H238">
        <v>5.3079999999999998</v>
      </c>
      <c r="I238">
        <v>5.4939999999999998</v>
      </c>
      <c r="J238">
        <v>0.90144999999999997</v>
      </c>
      <c r="K238">
        <v>0.66061999999999999</v>
      </c>
      <c r="M238">
        <v>0.54</v>
      </c>
      <c r="N238">
        <v>0.14396</v>
      </c>
      <c r="O238">
        <v>6.547E-2</v>
      </c>
      <c r="P238">
        <v>0.27992</v>
      </c>
      <c r="Q238">
        <v>2.8099799999999999</v>
      </c>
      <c r="R238">
        <v>2016</v>
      </c>
    </row>
    <row r="239" spans="3:18" x14ac:dyDescent="0.35">
      <c r="C239" t="s">
        <v>96</v>
      </c>
      <c r="D239" t="s">
        <v>26</v>
      </c>
      <c r="E239">
        <v>78</v>
      </c>
      <c r="F239">
        <v>5.3890000000000002</v>
      </c>
      <c r="H239">
        <v>5.2949999999999999</v>
      </c>
      <c r="I239">
        <v>5.4829999999999997</v>
      </c>
      <c r="J239">
        <v>1.16492</v>
      </c>
      <c r="K239">
        <v>0.87717000000000001</v>
      </c>
      <c r="M239">
        <v>0.64717999999999998</v>
      </c>
      <c r="N239">
        <v>0.23888999999999999</v>
      </c>
      <c r="O239">
        <v>0.12348000000000001</v>
      </c>
      <c r="P239">
        <v>4.7070000000000001E-2</v>
      </c>
      <c r="Q239">
        <v>2.29074</v>
      </c>
      <c r="R239">
        <v>2016</v>
      </c>
    </row>
    <row r="240" spans="3:18" x14ac:dyDescent="0.35">
      <c r="C240" t="s">
        <v>94</v>
      </c>
      <c r="D240" t="s">
        <v>41</v>
      </c>
      <c r="E240">
        <v>79</v>
      </c>
      <c r="F240">
        <v>5.3140000000000001</v>
      </c>
      <c r="H240">
        <v>5.2370000000000001</v>
      </c>
      <c r="I240">
        <v>5.391</v>
      </c>
      <c r="J240">
        <v>0.95104</v>
      </c>
      <c r="K240">
        <v>0.87624999999999997</v>
      </c>
      <c r="M240">
        <v>0.49374000000000001</v>
      </c>
      <c r="N240">
        <v>0.39237</v>
      </c>
      <c r="O240">
        <v>3.2200000000000002E-3</v>
      </c>
      <c r="P240">
        <v>0.56520999999999999</v>
      </c>
      <c r="Q240">
        <v>2.0317099999999999</v>
      </c>
      <c r="R240">
        <v>2016</v>
      </c>
    </row>
    <row r="241" spans="3:18" x14ac:dyDescent="0.35">
      <c r="C241" t="s">
        <v>103</v>
      </c>
      <c r="D241" t="s">
        <v>26</v>
      </c>
      <c r="E241">
        <v>80</v>
      </c>
      <c r="F241">
        <v>5.3029999999999999</v>
      </c>
      <c r="H241">
        <v>5.1870000000000003</v>
      </c>
      <c r="I241">
        <v>5.4189999999999996</v>
      </c>
      <c r="J241">
        <v>0.99673</v>
      </c>
      <c r="K241">
        <v>0.86216000000000004</v>
      </c>
      <c r="M241">
        <v>0.60711999999999999</v>
      </c>
      <c r="N241">
        <v>0.36022999999999999</v>
      </c>
      <c r="O241">
        <v>0.13297</v>
      </c>
      <c r="P241">
        <v>0.14262</v>
      </c>
      <c r="Q241">
        <v>2.2014200000000002</v>
      </c>
      <c r="R241">
        <v>2016</v>
      </c>
    </row>
    <row r="242" spans="3:18" x14ac:dyDescent="0.35">
      <c r="C242" t="s">
        <v>101</v>
      </c>
      <c r="D242" t="s">
        <v>49</v>
      </c>
      <c r="E242">
        <v>81</v>
      </c>
      <c r="F242">
        <v>5.2910000000000004</v>
      </c>
      <c r="H242">
        <v>5.226</v>
      </c>
      <c r="I242">
        <v>5.3559999999999999</v>
      </c>
      <c r="J242">
        <v>1.1237299999999999</v>
      </c>
      <c r="K242">
        <v>0.76041999999999998</v>
      </c>
      <c r="M242">
        <v>0.54503999999999997</v>
      </c>
      <c r="N242">
        <v>0.35326999999999997</v>
      </c>
      <c r="O242">
        <v>0.17913999999999999</v>
      </c>
      <c r="P242">
        <v>5.6399999999999999E-2</v>
      </c>
      <c r="Q242">
        <v>2.2734999999999999</v>
      </c>
      <c r="R242">
        <v>2016</v>
      </c>
    </row>
    <row r="243" spans="3:18" x14ac:dyDescent="0.35">
      <c r="C243" t="s">
        <v>111</v>
      </c>
      <c r="D243" t="s">
        <v>41</v>
      </c>
      <c r="E243">
        <v>82</v>
      </c>
      <c r="F243">
        <v>5.2789999999999999</v>
      </c>
      <c r="H243">
        <v>5.16</v>
      </c>
      <c r="I243">
        <v>5.3979999999999997</v>
      </c>
      <c r="J243">
        <v>0.81216999999999995</v>
      </c>
      <c r="K243">
        <v>0.87877000000000005</v>
      </c>
      <c r="M243">
        <v>0.47036</v>
      </c>
      <c r="N243">
        <v>0.54854000000000003</v>
      </c>
      <c r="O243">
        <v>0.11756999999999999</v>
      </c>
      <c r="P243">
        <v>0.21673999999999999</v>
      </c>
      <c r="Q243">
        <v>2.2348400000000002</v>
      </c>
      <c r="R243">
        <v>2016</v>
      </c>
    </row>
    <row r="244" spans="3:18" x14ac:dyDescent="0.35">
      <c r="C244" t="s">
        <v>105</v>
      </c>
      <c r="D244" t="s">
        <v>57</v>
      </c>
      <c r="E244">
        <v>83</v>
      </c>
      <c r="F244">
        <v>5.2450000000000001</v>
      </c>
      <c r="H244">
        <v>5.1989999999999998</v>
      </c>
      <c r="I244">
        <v>5.2910000000000004</v>
      </c>
      <c r="J244">
        <v>1.0278</v>
      </c>
      <c r="K244">
        <v>0.79381000000000002</v>
      </c>
      <c r="M244">
        <v>0.73560999999999999</v>
      </c>
      <c r="N244">
        <v>0.44012000000000001</v>
      </c>
      <c r="O244">
        <v>2.7449999999999999E-2</v>
      </c>
      <c r="P244">
        <v>4.9590000000000002E-2</v>
      </c>
      <c r="Q244">
        <v>2.1708699999999999</v>
      </c>
      <c r="R244">
        <v>2016</v>
      </c>
    </row>
    <row r="245" spans="3:18" x14ac:dyDescent="0.35">
      <c r="C245" t="s">
        <v>99</v>
      </c>
      <c r="D245" t="s">
        <v>100</v>
      </c>
      <c r="E245">
        <v>84</v>
      </c>
      <c r="F245">
        <v>5.1959999999999997</v>
      </c>
      <c r="H245">
        <v>5.1379999999999999</v>
      </c>
      <c r="I245">
        <v>5.2539999999999996</v>
      </c>
      <c r="J245">
        <v>0.85270000000000001</v>
      </c>
      <c r="K245">
        <v>0.90835999999999995</v>
      </c>
      <c r="M245">
        <v>0.49758999999999998</v>
      </c>
      <c r="N245">
        <v>0.46073999999999998</v>
      </c>
      <c r="O245">
        <v>0.16159999999999999</v>
      </c>
      <c r="P245">
        <v>0.48546</v>
      </c>
      <c r="Q245">
        <v>1.8291599999999999</v>
      </c>
      <c r="R245">
        <v>2016</v>
      </c>
    </row>
    <row r="246" spans="3:18" x14ac:dyDescent="0.35">
      <c r="C246" t="s">
        <v>97</v>
      </c>
      <c r="D246" t="s">
        <v>49</v>
      </c>
      <c r="E246">
        <v>85</v>
      </c>
      <c r="F246">
        <v>5.1849999999999996</v>
      </c>
      <c r="H246">
        <v>5.1029999999999998</v>
      </c>
      <c r="I246">
        <v>5.2670000000000003</v>
      </c>
      <c r="J246">
        <v>0.56044000000000005</v>
      </c>
      <c r="K246">
        <v>0.95433999999999997</v>
      </c>
      <c r="M246">
        <v>0.55449000000000004</v>
      </c>
      <c r="N246">
        <v>0.40211999999999998</v>
      </c>
      <c r="O246">
        <v>4.7620000000000003E-2</v>
      </c>
      <c r="P246">
        <v>0.38431999999999999</v>
      </c>
      <c r="Q246">
        <v>2.2813599999999998</v>
      </c>
      <c r="R246">
        <v>2016</v>
      </c>
    </row>
    <row r="247" spans="3:18" x14ac:dyDescent="0.35">
      <c r="C247" t="s">
        <v>108</v>
      </c>
      <c r="D247" t="s">
        <v>49</v>
      </c>
      <c r="E247">
        <v>86</v>
      </c>
      <c r="F247">
        <v>5.1769999999999996</v>
      </c>
      <c r="H247">
        <v>5.0830000000000002</v>
      </c>
      <c r="I247">
        <v>5.2709999999999999</v>
      </c>
      <c r="J247">
        <v>1.03437</v>
      </c>
      <c r="K247">
        <v>0.81328999999999996</v>
      </c>
      <c r="M247">
        <v>0.64580000000000004</v>
      </c>
      <c r="N247">
        <v>0.15717999999999999</v>
      </c>
      <c r="O247">
        <v>4.3389999999999998E-2</v>
      </c>
      <c r="P247">
        <v>0.20737</v>
      </c>
      <c r="Q247">
        <v>2.2753899999999998</v>
      </c>
      <c r="R247">
        <v>2016</v>
      </c>
    </row>
    <row r="248" spans="3:18" x14ac:dyDescent="0.35">
      <c r="C248" t="s">
        <v>117</v>
      </c>
      <c r="D248" t="s">
        <v>49</v>
      </c>
      <c r="E248">
        <v>87</v>
      </c>
      <c r="F248">
        <v>5.1630000000000003</v>
      </c>
      <c r="H248">
        <v>5.0629999999999997</v>
      </c>
      <c r="I248">
        <v>5.2629999999999999</v>
      </c>
      <c r="J248">
        <v>0.93383000000000005</v>
      </c>
      <c r="K248">
        <v>0.64366999999999996</v>
      </c>
      <c r="M248">
        <v>0.70765999999999996</v>
      </c>
      <c r="N248">
        <v>9.511E-2</v>
      </c>
      <c r="O248">
        <v>0</v>
      </c>
      <c r="P248">
        <v>0.29888999999999999</v>
      </c>
      <c r="Q248">
        <v>2.4840599999999999</v>
      </c>
      <c r="R248">
        <v>2016</v>
      </c>
    </row>
    <row r="249" spans="3:18" x14ac:dyDescent="0.35">
      <c r="C249" t="s">
        <v>104</v>
      </c>
      <c r="D249" t="s">
        <v>49</v>
      </c>
      <c r="E249">
        <v>88</v>
      </c>
      <c r="F249">
        <v>5.1609999999999996</v>
      </c>
      <c r="H249">
        <v>5.0549999999999997</v>
      </c>
      <c r="I249">
        <v>5.2670000000000003</v>
      </c>
      <c r="J249">
        <v>1.0783799999999999</v>
      </c>
      <c r="K249">
        <v>0.74173</v>
      </c>
      <c r="M249">
        <v>0.63532999999999995</v>
      </c>
      <c r="N249">
        <v>0.15110999999999999</v>
      </c>
      <c r="O249">
        <v>0.12720999999999999</v>
      </c>
      <c r="P249">
        <v>0.17191000000000001</v>
      </c>
      <c r="Q249">
        <v>2.2553100000000001</v>
      </c>
      <c r="R249">
        <v>2016</v>
      </c>
    </row>
    <row r="250" spans="3:18" x14ac:dyDescent="0.35">
      <c r="C250" t="s">
        <v>119</v>
      </c>
      <c r="D250" t="s">
        <v>28</v>
      </c>
      <c r="E250">
        <v>89</v>
      </c>
      <c r="F250">
        <v>5.1550000000000002</v>
      </c>
      <c r="H250">
        <v>5.0369999999999999</v>
      </c>
      <c r="I250">
        <v>5.2729999999999997</v>
      </c>
      <c r="J250">
        <v>1.0278700000000001</v>
      </c>
      <c r="K250">
        <v>0.99495999999999996</v>
      </c>
      <c r="M250">
        <v>0.57669000000000004</v>
      </c>
      <c r="N250">
        <v>0.52259</v>
      </c>
      <c r="O250">
        <v>0.12372</v>
      </c>
      <c r="P250">
        <v>0.21285999999999999</v>
      </c>
      <c r="Q250">
        <v>1.6962600000000001</v>
      </c>
      <c r="R250">
        <v>2016</v>
      </c>
    </row>
    <row r="251" spans="3:18" x14ac:dyDescent="0.35">
      <c r="C251" t="s">
        <v>113</v>
      </c>
      <c r="D251" t="s">
        <v>26</v>
      </c>
      <c r="E251">
        <v>90</v>
      </c>
      <c r="F251">
        <v>5.1509999999999998</v>
      </c>
      <c r="H251">
        <v>5.0579999999999998</v>
      </c>
      <c r="I251">
        <v>5.2439999999999998</v>
      </c>
      <c r="J251">
        <v>0.84057999999999999</v>
      </c>
      <c r="K251">
        <v>0.38595000000000002</v>
      </c>
      <c r="M251">
        <v>0.59470999999999996</v>
      </c>
      <c r="N251">
        <v>0.25646000000000002</v>
      </c>
      <c r="O251">
        <v>8.4040000000000004E-2</v>
      </c>
      <c r="P251">
        <v>4.0529999999999997E-2</v>
      </c>
      <c r="Q251">
        <v>2.9489100000000001</v>
      </c>
      <c r="R251">
        <v>2016</v>
      </c>
    </row>
    <row r="252" spans="3:18" x14ac:dyDescent="0.35">
      <c r="C252" t="s">
        <v>125</v>
      </c>
      <c r="D252" t="s">
        <v>49</v>
      </c>
      <c r="E252">
        <v>91</v>
      </c>
      <c r="F252">
        <v>5.1449999999999996</v>
      </c>
      <c r="H252">
        <v>5.056</v>
      </c>
      <c r="I252">
        <v>5.234</v>
      </c>
      <c r="J252">
        <v>1.24142</v>
      </c>
      <c r="K252">
        <v>0.93164000000000002</v>
      </c>
      <c r="M252">
        <v>0.67608000000000001</v>
      </c>
      <c r="N252">
        <v>0.19769999999999999</v>
      </c>
      <c r="O252">
        <v>4.4720000000000003E-2</v>
      </c>
      <c r="P252">
        <v>9.9000000000000005E-2</v>
      </c>
      <c r="Q252">
        <v>1.9547300000000001</v>
      </c>
      <c r="R252">
        <v>2016</v>
      </c>
    </row>
    <row r="253" spans="3:18" x14ac:dyDescent="0.35">
      <c r="C253" t="s">
        <v>102</v>
      </c>
      <c r="D253" t="s">
        <v>100</v>
      </c>
      <c r="E253">
        <v>92</v>
      </c>
      <c r="F253">
        <v>5.1319999999999997</v>
      </c>
      <c r="H253">
        <v>5.0380000000000003</v>
      </c>
      <c r="I253">
        <v>5.226</v>
      </c>
      <c r="J253">
        <v>0.68815999999999999</v>
      </c>
      <c r="K253">
        <v>0.26135000000000003</v>
      </c>
      <c r="M253">
        <v>0.40305999999999997</v>
      </c>
      <c r="N253">
        <v>0.14621999999999999</v>
      </c>
      <c r="O253">
        <v>0.13880000000000001</v>
      </c>
      <c r="P253">
        <v>0.31185000000000002</v>
      </c>
      <c r="Q253">
        <v>3.1828599999999998</v>
      </c>
      <c r="R253">
        <v>2016</v>
      </c>
    </row>
    <row r="254" spans="3:18" x14ac:dyDescent="0.35">
      <c r="C254" t="s">
        <v>124</v>
      </c>
      <c r="D254" t="s">
        <v>26</v>
      </c>
      <c r="E254">
        <v>93</v>
      </c>
      <c r="F254">
        <v>5.1289999999999996</v>
      </c>
      <c r="H254">
        <v>5.0309999999999997</v>
      </c>
      <c r="I254">
        <v>5.2270000000000003</v>
      </c>
      <c r="J254">
        <v>1.1226799999999999</v>
      </c>
      <c r="K254">
        <v>0.64183999999999997</v>
      </c>
      <c r="M254">
        <v>0.76171</v>
      </c>
      <c r="N254">
        <v>0.26228000000000001</v>
      </c>
      <c r="O254">
        <v>3.0609999999999998E-2</v>
      </c>
      <c r="P254">
        <v>0.23693</v>
      </c>
      <c r="Q254">
        <v>2.0733899999999998</v>
      </c>
      <c r="R254">
        <v>2016</v>
      </c>
    </row>
    <row r="255" spans="3:18" x14ac:dyDescent="0.35">
      <c r="C255" t="s">
        <v>109</v>
      </c>
      <c r="D255" t="s">
        <v>13</v>
      </c>
      <c r="E255">
        <v>94</v>
      </c>
      <c r="F255">
        <v>5.1230000000000002</v>
      </c>
      <c r="H255">
        <v>5.03</v>
      </c>
      <c r="I255">
        <v>5.2160000000000002</v>
      </c>
      <c r="J255">
        <v>1.27607</v>
      </c>
      <c r="K255">
        <v>0.94367000000000001</v>
      </c>
      <c r="M255">
        <v>0.79362999999999995</v>
      </c>
      <c r="N255">
        <v>0.44727</v>
      </c>
      <c r="O255">
        <v>1.521E-2</v>
      </c>
      <c r="P255">
        <v>0.11691</v>
      </c>
      <c r="Q255">
        <v>1.5301499999999999</v>
      </c>
      <c r="R255">
        <v>2016</v>
      </c>
    </row>
    <row r="256" spans="3:18" x14ac:dyDescent="0.35">
      <c r="C256" t="s">
        <v>114</v>
      </c>
      <c r="D256" t="s">
        <v>49</v>
      </c>
      <c r="E256">
        <v>95</v>
      </c>
      <c r="F256">
        <v>5.1210000000000004</v>
      </c>
      <c r="H256">
        <v>5.0170000000000003</v>
      </c>
      <c r="I256">
        <v>5.2249999999999996</v>
      </c>
      <c r="J256">
        <v>1.0193000000000001</v>
      </c>
      <c r="K256">
        <v>0.78236000000000006</v>
      </c>
      <c r="M256">
        <v>0.64737999999999996</v>
      </c>
      <c r="N256">
        <v>0.27667999999999998</v>
      </c>
      <c r="O256">
        <v>7.0470000000000005E-2</v>
      </c>
      <c r="P256">
        <v>0.23507</v>
      </c>
      <c r="Q256">
        <v>2.0894699999999999</v>
      </c>
      <c r="R256">
        <v>2016</v>
      </c>
    </row>
    <row r="257" spans="3:18" x14ac:dyDescent="0.35">
      <c r="C257" t="s">
        <v>95</v>
      </c>
      <c r="D257" t="s">
        <v>41</v>
      </c>
      <c r="E257">
        <v>96</v>
      </c>
      <c r="F257">
        <v>5.0609999999999999</v>
      </c>
      <c r="H257">
        <v>4.9909999999999997</v>
      </c>
      <c r="I257">
        <v>5.1310000000000002</v>
      </c>
      <c r="J257">
        <v>0.74036999999999997</v>
      </c>
      <c r="K257">
        <v>0.79117000000000004</v>
      </c>
      <c r="M257">
        <v>0.66156999999999999</v>
      </c>
      <c r="N257">
        <v>0.55954000000000004</v>
      </c>
      <c r="O257">
        <v>0.11556</v>
      </c>
      <c r="P257">
        <v>0.25074999999999997</v>
      </c>
      <c r="Q257">
        <v>1.9418</v>
      </c>
      <c r="R257">
        <v>2016</v>
      </c>
    </row>
    <row r="258" spans="3:18" x14ac:dyDescent="0.35">
      <c r="C258" t="s">
        <v>210</v>
      </c>
      <c r="D258" t="s">
        <v>91</v>
      </c>
      <c r="E258">
        <v>97</v>
      </c>
      <c r="F258">
        <v>5.0570000000000004</v>
      </c>
      <c r="H258">
        <v>4.9340000000000002</v>
      </c>
      <c r="I258">
        <v>5.18</v>
      </c>
      <c r="J258">
        <v>0.25557999999999997</v>
      </c>
      <c r="K258">
        <v>0.75861999999999996</v>
      </c>
      <c r="M258">
        <v>0.33107999999999999</v>
      </c>
      <c r="N258">
        <v>0.39129999999999998</v>
      </c>
      <c r="O258">
        <v>0.36793999999999999</v>
      </c>
      <c r="P258">
        <v>0.51478999999999997</v>
      </c>
      <c r="Q258">
        <v>2.4380099999999998</v>
      </c>
      <c r="R258">
        <v>2016</v>
      </c>
    </row>
    <row r="259" spans="3:18" x14ac:dyDescent="0.35">
      <c r="C259" t="s">
        <v>128</v>
      </c>
      <c r="D259" t="s">
        <v>26</v>
      </c>
      <c r="E259">
        <v>98</v>
      </c>
      <c r="F259">
        <v>5.0449999999999999</v>
      </c>
      <c r="H259">
        <v>4.9649999999999999</v>
      </c>
      <c r="I259">
        <v>5.125</v>
      </c>
      <c r="J259">
        <v>0.97724</v>
      </c>
      <c r="K259">
        <v>0.43164999999999998</v>
      </c>
      <c r="M259">
        <v>0.59577000000000002</v>
      </c>
      <c r="N259">
        <v>0.23552999999999999</v>
      </c>
      <c r="O259">
        <v>8.1699999999999995E-2</v>
      </c>
      <c r="P259">
        <v>3.9359999999999999E-2</v>
      </c>
      <c r="Q259">
        <v>2.6841300000000001</v>
      </c>
      <c r="R259">
        <v>2016</v>
      </c>
    </row>
    <row r="260" spans="3:18" x14ac:dyDescent="0.35">
      <c r="C260" t="s">
        <v>123</v>
      </c>
      <c r="D260" t="s">
        <v>13</v>
      </c>
      <c r="E260">
        <v>99</v>
      </c>
      <c r="F260">
        <v>5.0330000000000004</v>
      </c>
      <c r="H260">
        <v>4.9349999999999996</v>
      </c>
      <c r="I260">
        <v>5.1310000000000002</v>
      </c>
      <c r="J260">
        <v>1.2488600000000001</v>
      </c>
      <c r="K260">
        <v>0.75473000000000001</v>
      </c>
      <c r="M260">
        <v>0.80028999999999995</v>
      </c>
      <c r="N260">
        <v>5.8220000000000001E-2</v>
      </c>
      <c r="O260">
        <v>4.1270000000000001E-2</v>
      </c>
      <c r="P260">
        <v>0</v>
      </c>
      <c r="Q260">
        <v>2.1294400000000002</v>
      </c>
      <c r="R260">
        <v>2016</v>
      </c>
    </row>
    <row r="261" spans="3:18" x14ac:dyDescent="0.35">
      <c r="C261" t="s">
        <v>127</v>
      </c>
      <c r="D261" t="s">
        <v>49</v>
      </c>
      <c r="E261">
        <v>100</v>
      </c>
      <c r="F261">
        <v>4.9960000000000004</v>
      </c>
      <c r="H261">
        <v>4.923</v>
      </c>
      <c r="I261">
        <v>5.069</v>
      </c>
      <c r="J261">
        <v>0.48835000000000001</v>
      </c>
      <c r="K261">
        <v>0.75602000000000003</v>
      </c>
      <c r="M261">
        <v>0.53119000000000005</v>
      </c>
      <c r="N261">
        <v>0.43408000000000002</v>
      </c>
      <c r="O261">
        <v>0.13508999999999999</v>
      </c>
      <c r="P261">
        <v>0.25997999999999999</v>
      </c>
      <c r="Q261">
        <v>2.39106</v>
      </c>
      <c r="R261">
        <v>2016</v>
      </c>
    </row>
    <row r="262" spans="3:18" x14ac:dyDescent="0.35">
      <c r="C262" t="s">
        <v>121</v>
      </c>
      <c r="D262" t="s">
        <v>57</v>
      </c>
      <c r="E262">
        <v>101</v>
      </c>
      <c r="F262">
        <v>4.907</v>
      </c>
      <c r="H262">
        <v>4.8380000000000001</v>
      </c>
      <c r="I262">
        <v>4.976</v>
      </c>
      <c r="J262">
        <v>0.98853000000000002</v>
      </c>
      <c r="K262">
        <v>1.0898300000000001</v>
      </c>
      <c r="M262">
        <v>0.55469000000000002</v>
      </c>
      <c r="N262">
        <v>0.35971999999999998</v>
      </c>
      <c r="O262">
        <v>3.2849999999999997E-2</v>
      </c>
      <c r="P262">
        <v>0.34538999999999997</v>
      </c>
      <c r="Q262">
        <v>1.53586</v>
      </c>
      <c r="R262">
        <v>2016</v>
      </c>
    </row>
    <row r="263" spans="3:18" x14ac:dyDescent="0.35">
      <c r="C263" t="s">
        <v>120</v>
      </c>
      <c r="D263" t="s">
        <v>41</v>
      </c>
      <c r="E263">
        <v>102</v>
      </c>
      <c r="F263">
        <v>4.8760000000000003</v>
      </c>
      <c r="H263">
        <v>4.742</v>
      </c>
      <c r="I263">
        <v>5.01</v>
      </c>
      <c r="J263">
        <v>0.68042000000000002</v>
      </c>
      <c r="K263">
        <v>0.54969999999999997</v>
      </c>
      <c r="M263">
        <v>0.38290999999999997</v>
      </c>
      <c r="N263">
        <v>0.52168000000000003</v>
      </c>
      <c r="O263">
        <v>0.22423000000000001</v>
      </c>
      <c r="P263">
        <v>0.43079000000000001</v>
      </c>
      <c r="Q263">
        <v>2.0863700000000001</v>
      </c>
      <c r="R263">
        <v>2016</v>
      </c>
    </row>
    <row r="264" spans="3:18" x14ac:dyDescent="0.35">
      <c r="C264" t="s">
        <v>98</v>
      </c>
      <c r="D264" t="s">
        <v>91</v>
      </c>
      <c r="E264">
        <v>103</v>
      </c>
      <c r="F264">
        <v>4.875</v>
      </c>
      <c r="H264">
        <v>4.75</v>
      </c>
      <c r="I264">
        <v>5</v>
      </c>
      <c r="J264">
        <v>0.75216000000000005</v>
      </c>
      <c r="K264">
        <v>0.64498</v>
      </c>
      <c r="M264">
        <v>5.108E-2</v>
      </c>
      <c r="N264">
        <v>0.27854000000000001</v>
      </c>
      <c r="O264">
        <v>3.0499999999999999E-2</v>
      </c>
      <c r="P264">
        <v>0.23219000000000001</v>
      </c>
      <c r="Q264">
        <v>2.8858600000000001</v>
      </c>
      <c r="R264">
        <v>2016</v>
      </c>
    </row>
    <row r="265" spans="3:18" x14ac:dyDescent="0.35">
      <c r="C265" t="s">
        <v>126</v>
      </c>
      <c r="D265" t="s">
        <v>28</v>
      </c>
      <c r="E265">
        <v>104</v>
      </c>
      <c r="F265">
        <v>4.8710000000000004</v>
      </c>
      <c r="H265">
        <v>4.75</v>
      </c>
      <c r="I265">
        <v>4.992</v>
      </c>
      <c r="J265">
        <v>0.69428999999999996</v>
      </c>
      <c r="K265">
        <v>0.75595999999999997</v>
      </c>
      <c r="M265">
        <v>0.58382999999999996</v>
      </c>
      <c r="N265">
        <v>0.26755000000000001</v>
      </c>
      <c r="O265">
        <v>6.9059999999999996E-2</v>
      </c>
      <c r="P265">
        <v>0.2044</v>
      </c>
      <c r="Q265">
        <v>2.2955100000000002</v>
      </c>
      <c r="R265">
        <v>2016</v>
      </c>
    </row>
    <row r="266" spans="3:18" x14ac:dyDescent="0.35">
      <c r="C266" t="s">
        <v>131</v>
      </c>
      <c r="D266" t="s">
        <v>26</v>
      </c>
      <c r="E266">
        <v>105</v>
      </c>
      <c r="F266">
        <v>4.8129999999999997</v>
      </c>
      <c r="H266">
        <v>4.7030000000000003</v>
      </c>
      <c r="I266">
        <v>4.923</v>
      </c>
      <c r="J266">
        <v>1.11758</v>
      </c>
      <c r="K266">
        <v>0.38857000000000003</v>
      </c>
      <c r="M266">
        <v>0.64232</v>
      </c>
      <c r="N266">
        <v>0.22544</v>
      </c>
      <c r="O266">
        <v>5.57E-2</v>
      </c>
      <c r="P266">
        <v>0.38538</v>
      </c>
      <c r="Q266">
        <v>1.99817</v>
      </c>
      <c r="R266">
        <v>2016</v>
      </c>
    </row>
    <row r="267" spans="3:18" x14ac:dyDescent="0.35">
      <c r="C267" t="s">
        <v>106</v>
      </c>
      <c r="D267" t="s">
        <v>91</v>
      </c>
      <c r="E267">
        <v>106</v>
      </c>
      <c r="F267">
        <v>4.7949999999999999</v>
      </c>
      <c r="H267">
        <v>4.6449999999999996</v>
      </c>
      <c r="I267">
        <v>4.9450000000000003</v>
      </c>
      <c r="J267">
        <v>0.61202000000000001</v>
      </c>
      <c r="K267">
        <v>0.63759999999999994</v>
      </c>
      <c r="M267">
        <v>0.23573</v>
      </c>
      <c r="N267">
        <v>0.42662</v>
      </c>
      <c r="O267">
        <v>0.11479</v>
      </c>
      <c r="P267">
        <v>0.17866000000000001</v>
      </c>
      <c r="Q267">
        <v>2.5899100000000002</v>
      </c>
      <c r="R267">
        <v>2016</v>
      </c>
    </row>
    <row r="268" spans="3:18" x14ac:dyDescent="0.35">
      <c r="C268" t="s">
        <v>142</v>
      </c>
      <c r="D268" t="s">
        <v>100</v>
      </c>
      <c r="E268">
        <v>107</v>
      </c>
      <c r="F268">
        <v>4.7930000000000001</v>
      </c>
      <c r="H268">
        <v>4.6980000000000004</v>
      </c>
      <c r="I268">
        <v>4.8879999999999999</v>
      </c>
      <c r="J268">
        <v>0.44625999999999999</v>
      </c>
      <c r="K268">
        <v>0.69699</v>
      </c>
      <c r="M268">
        <v>0.50073000000000001</v>
      </c>
      <c r="N268">
        <v>0.37012</v>
      </c>
      <c r="O268">
        <v>7.0080000000000003E-2</v>
      </c>
      <c r="P268">
        <v>0.38159999999999999</v>
      </c>
      <c r="Q268">
        <v>2.32694</v>
      </c>
      <c r="R268">
        <v>2016</v>
      </c>
    </row>
    <row r="269" spans="3:18" x14ac:dyDescent="0.35">
      <c r="C269" t="s">
        <v>129</v>
      </c>
      <c r="D269" t="s">
        <v>26</v>
      </c>
      <c r="E269">
        <v>108</v>
      </c>
      <c r="F269">
        <v>4.7539999999999996</v>
      </c>
      <c r="H269">
        <v>4.649</v>
      </c>
      <c r="I269">
        <v>4.859</v>
      </c>
      <c r="J269">
        <v>0.67023999999999995</v>
      </c>
      <c r="K269">
        <v>0.71628999999999998</v>
      </c>
      <c r="M269">
        <v>0.56843999999999995</v>
      </c>
      <c r="N269">
        <v>0.17743999999999999</v>
      </c>
      <c r="O269">
        <v>0.10613</v>
      </c>
      <c r="P269">
        <v>0.11154</v>
      </c>
      <c r="Q269">
        <v>2.4036400000000002</v>
      </c>
      <c r="R269">
        <v>2016</v>
      </c>
    </row>
    <row r="270" spans="3:18" x14ac:dyDescent="0.35">
      <c r="C270" t="s">
        <v>116</v>
      </c>
      <c r="D270" t="s">
        <v>49</v>
      </c>
      <c r="E270">
        <v>109</v>
      </c>
      <c r="F270">
        <v>4.6550000000000002</v>
      </c>
      <c r="H270">
        <v>4.5460000000000003</v>
      </c>
      <c r="I270">
        <v>4.7640000000000002</v>
      </c>
      <c r="J270">
        <v>0.95530000000000004</v>
      </c>
      <c r="K270">
        <v>0.50163000000000002</v>
      </c>
      <c r="M270">
        <v>0.73007</v>
      </c>
      <c r="N270">
        <v>0.31866</v>
      </c>
      <c r="O270">
        <v>5.3010000000000002E-2</v>
      </c>
      <c r="P270">
        <v>0.16839999999999999</v>
      </c>
      <c r="Q270">
        <v>1.9281600000000001</v>
      </c>
      <c r="R270">
        <v>2016</v>
      </c>
    </row>
    <row r="271" spans="3:18" x14ac:dyDescent="0.35">
      <c r="C271" t="s">
        <v>130</v>
      </c>
      <c r="D271" t="s">
        <v>100</v>
      </c>
      <c r="E271">
        <v>110</v>
      </c>
      <c r="F271">
        <v>4.6429999999999998</v>
      </c>
      <c r="H271">
        <v>4.5599999999999996</v>
      </c>
      <c r="I271">
        <v>4.726</v>
      </c>
      <c r="J271">
        <v>0.54176999999999997</v>
      </c>
      <c r="K271">
        <v>0.24748999999999999</v>
      </c>
      <c r="M271">
        <v>0.52988999999999997</v>
      </c>
      <c r="N271">
        <v>0.39778000000000002</v>
      </c>
      <c r="O271">
        <v>0.12583</v>
      </c>
      <c r="P271">
        <v>0.19131999999999999</v>
      </c>
      <c r="Q271">
        <v>2.6090399999999998</v>
      </c>
      <c r="R271">
        <v>2016</v>
      </c>
    </row>
    <row r="272" spans="3:18" x14ac:dyDescent="0.35">
      <c r="C272" t="s">
        <v>144</v>
      </c>
      <c r="D272" t="s">
        <v>91</v>
      </c>
      <c r="E272">
        <v>111</v>
      </c>
      <c r="F272">
        <v>4.6349999999999998</v>
      </c>
      <c r="H272">
        <v>4.5049999999999999</v>
      </c>
      <c r="I272">
        <v>4.7649999999999997</v>
      </c>
      <c r="J272">
        <v>0.36485000000000001</v>
      </c>
      <c r="K272">
        <v>0.628</v>
      </c>
      <c r="M272">
        <v>0</v>
      </c>
      <c r="N272">
        <v>0.30685000000000001</v>
      </c>
      <c r="O272">
        <v>8.1960000000000005E-2</v>
      </c>
      <c r="P272">
        <v>0.23896999999999999</v>
      </c>
      <c r="Q272">
        <v>3.0140199999999999</v>
      </c>
      <c r="R272">
        <v>2016</v>
      </c>
    </row>
    <row r="273" spans="3:18" x14ac:dyDescent="0.35">
      <c r="C273" t="s">
        <v>133</v>
      </c>
      <c r="D273" t="s">
        <v>26</v>
      </c>
      <c r="E273">
        <v>112</v>
      </c>
      <c r="F273">
        <v>4.5750000000000002</v>
      </c>
      <c r="H273">
        <v>4.4459999999999997</v>
      </c>
      <c r="I273">
        <v>4.7039999999999997</v>
      </c>
      <c r="J273">
        <v>1.07474</v>
      </c>
      <c r="K273">
        <v>0.59204999999999997</v>
      </c>
      <c r="M273">
        <v>0.51075999999999999</v>
      </c>
      <c r="N273">
        <v>0.24856</v>
      </c>
      <c r="O273">
        <v>0.13636000000000001</v>
      </c>
      <c r="P273">
        <v>0.19589000000000001</v>
      </c>
      <c r="Q273">
        <v>1.81657</v>
      </c>
      <c r="R273">
        <v>2016</v>
      </c>
    </row>
    <row r="274" spans="3:18" x14ac:dyDescent="0.35">
      <c r="C274" t="s">
        <v>211</v>
      </c>
      <c r="D274" t="s">
        <v>91</v>
      </c>
      <c r="E274">
        <v>113</v>
      </c>
      <c r="F274">
        <v>4.5739999999999998</v>
      </c>
      <c r="H274">
        <v>4.3739999999999997</v>
      </c>
      <c r="I274">
        <v>4.774</v>
      </c>
      <c r="J274">
        <v>0.93286999999999998</v>
      </c>
      <c r="K274">
        <v>0.70362000000000002</v>
      </c>
      <c r="M274">
        <v>0.34744999999999998</v>
      </c>
      <c r="N274">
        <v>0.48614000000000002</v>
      </c>
      <c r="O274">
        <v>0.10398</v>
      </c>
      <c r="P274">
        <v>7.7950000000000005E-2</v>
      </c>
      <c r="Q274">
        <v>1.92198</v>
      </c>
      <c r="R274">
        <v>2016</v>
      </c>
    </row>
    <row r="275" spans="3:18" x14ac:dyDescent="0.35">
      <c r="C275" t="s">
        <v>154</v>
      </c>
      <c r="D275" t="s">
        <v>91</v>
      </c>
      <c r="E275">
        <v>114</v>
      </c>
      <c r="F275">
        <v>4.5129999999999999</v>
      </c>
      <c r="H275">
        <v>4.4169999999999998</v>
      </c>
      <c r="I275">
        <v>4.609</v>
      </c>
      <c r="J275">
        <v>0.52497000000000005</v>
      </c>
      <c r="K275">
        <v>0.62541999999999998</v>
      </c>
      <c r="M275">
        <v>0.12698000000000001</v>
      </c>
      <c r="N275">
        <v>0.42736000000000002</v>
      </c>
      <c r="O275">
        <v>6.1260000000000002E-2</v>
      </c>
      <c r="P275">
        <v>0.2268</v>
      </c>
      <c r="Q275">
        <v>2.5198</v>
      </c>
      <c r="R275">
        <v>2016</v>
      </c>
    </row>
    <row r="276" spans="3:18" x14ac:dyDescent="0.35">
      <c r="C276" t="s">
        <v>143</v>
      </c>
      <c r="D276" t="s">
        <v>91</v>
      </c>
      <c r="E276">
        <v>115</v>
      </c>
      <c r="F276">
        <v>4.508</v>
      </c>
      <c r="H276">
        <v>4.4249999999999998</v>
      </c>
      <c r="I276">
        <v>4.5910000000000002</v>
      </c>
      <c r="J276">
        <v>0.29282999999999998</v>
      </c>
      <c r="K276">
        <v>0.37931999999999999</v>
      </c>
      <c r="M276">
        <v>0.34577999999999998</v>
      </c>
      <c r="N276">
        <v>0.36703000000000002</v>
      </c>
      <c r="O276">
        <v>0.17169999999999999</v>
      </c>
      <c r="P276">
        <v>0.29521999999999998</v>
      </c>
      <c r="Q276">
        <v>2.6561400000000002</v>
      </c>
      <c r="R276">
        <v>2016</v>
      </c>
    </row>
    <row r="277" spans="3:18" x14ac:dyDescent="0.35">
      <c r="C277" t="s">
        <v>134</v>
      </c>
      <c r="D277" t="s">
        <v>91</v>
      </c>
      <c r="E277">
        <v>116</v>
      </c>
      <c r="F277">
        <v>4.4589999999999996</v>
      </c>
      <c r="H277">
        <v>4.3710000000000004</v>
      </c>
      <c r="I277">
        <v>4.5469999999999997</v>
      </c>
      <c r="J277">
        <v>1.02416</v>
      </c>
      <c r="K277">
        <v>0.96052999999999999</v>
      </c>
      <c r="M277">
        <v>0.18611</v>
      </c>
      <c r="N277">
        <v>0.42482999999999999</v>
      </c>
      <c r="O277">
        <v>8.4150000000000003E-2</v>
      </c>
      <c r="P277">
        <v>0.13655999999999999</v>
      </c>
      <c r="Q277">
        <v>1.6422699999999999</v>
      </c>
      <c r="R277">
        <v>2016</v>
      </c>
    </row>
    <row r="278" spans="3:18" x14ac:dyDescent="0.35">
      <c r="C278" t="s">
        <v>153</v>
      </c>
      <c r="D278" t="s">
        <v>100</v>
      </c>
      <c r="E278">
        <v>117</v>
      </c>
      <c r="F278">
        <v>4.415</v>
      </c>
      <c r="H278">
        <v>4.3220000000000001</v>
      </c>
      <c r="I278">
        <v>4.508</v>
      </c>
      <c r="J278">
        <v>0.97318000000000005</v>
      </c>
      <c r="K278">
        <v>0.84782999999999997</v>
      </c>
      <c r="M278">
        <v>0.62007000000000001</v>
      </c>
      <c r="N278">
        <v>0.50817000000000001</v>
      </c>
      <c r="O278">
        <v>7.9640000000000002E-2</v>
      </c>
      <c r="P278">
        <v>0.46977999999999998</v>
      </c>
      <c r="Q278">
        <v>0.91681000000000001</v>
      </c>
      <c r="R278">
        <v>2016</v>
      </c>
    </row>
    <row r="279" spans="3:18" x14ac:dyDescent="0.35">
      <c r="C279" t="s">
        <v>138</v>
      </c>
      <c r="D279" t="s">
        <v>100</v>
      </c>
      <c r="E279">
        <v>118</v>
      </c>
      <c r="F279">
        <v>4.4039999999999999</v>
      </c>
      <c r="H279">
        <v>4.351</v>
      </c>
      <c r="I279">
        <v>4.4569999999999999</v>
      </c>
      <c r="J279">
        <v>0.74036000000000002</v>
      </c>
      <c r="K279">
        <v>0.29247000000000001</v>
      </c>
      <c r="M279">
        <v>0.45090999999999998</v>
      </c>
      <c r="N279">
        <v>0.40284999999999999</v>
      </c>
      <c r="O279">
        <v>8.7220000000000006E-2</v>
      </c>
      <c r="P279">
        <v>0.25028</v>
      </c>
      <c r="Q279">
        <v>2.18032</v>
      </c>
      <c r="R279">
        <v>2016</v>
      </c>
    </row>
    <row r="280" spans="3:18" x14ac:dyDescent="0.35">
      <c r="C280" t="s">
        <v>150</v>
      </c>
      <c r="D280" t="s">
        <v>41</v>
      </c>
      <c r="E280">
        <v>119</v>
      </c>
      <c r="F280">
        <v>4.3949999999999996</v>
      </c>
      <c r="H280">
        <v>4.327</v>
      </c>
      <c r="I280">
        <v>4.4630000000000001</v>
      </c>
      <c r="J280">
        <v>0.34111999999999998</v>
      </c>
      <c r="K280">
        <v>0.69981000000000004</v>
      </c>
      <c r="M280">
        <v>0.39879999999999999</v>
      </c>
      <c r="N280">
        <v>0.42692000000000002</v>
      </c>
      <c r="O280">
        <v>0.20243</v>
      </c>
      <c r="P280">
        <v>0.81971000000000005</v>
      </c>
      <c r="Q280">
        <v>1.5065500000000001</v>
      </c>
      <c r="R280">
        <v>2016</v>
      </c>
    </row>
    <row r="281" spans="3:18" x14ac:dyDescent="0.35">
      <c r="C281" t="s">
        <v>156</v>
      </c>
      <c r="D281" t="s">
        <v>26</v>
      </c>
      <c r="E281">
        <v>120</v>
      </c>
      <c r="F281">
        <v>4.3620000000000001</v>
      </c>
      <c r="H281">
        <v>4.2590000000000003</v>
      </c>
      <c r="I281">
        <v>4.4649999999999999</v>
      </c>
      <c r="J281">
        <v>0.95394999999999996</v>
      </c>
      <c r="K281">
        <v>0.49813000000000002</v>
      </c>
      <c r="M281">
        <v>0.52115999999999996</v>
      </c>
      <c r="N281">
        <v>0.18847</v>
      </c>
      <c r="O281">
        <v>0.10392999999999999</v>
      </c>
      <c r="P281">
        <v>0.12706000000000001</v>
      </c>
      <c r="Q281">
        <v>1.96895</v>
      </c>
      <c r="R281">
        <v>2016</v>
      </c>
    </row>
    <row r="282" spans="3:18" x14ac:dyDescent="0.35">
      <c r="C282" t="s">
        <v>148</v>
      </c>
      <c r="D282" t="s">
        <v>49</v>
      </c>
      <c r="E282">
        <v>121</v>
      </c>
      <c r="F282">
        <v>4.3600000000000003</v>
      </c>
      <c r="H282">
        <v>4.266</v>
      </c>
      <c r="I282">
        <v>4.4539999999999997</v>
      </c>
      <c r="J282">
        <v>0.86085999999999996</v>
      </c>
      <c r="K282">
        <v>0.62477000000000005</v>
      </c>
      <c r="M282">
        <v>0.64083000000000001</v>
      </c>
      <c r="N282">
        <v>0.14036999999999999</v>
      </c>
      <c r="O282">
        <v>3.6159999999999998E-2</v>
      </c>
      <c r="P282">
        <v>7.7929999999999999E-2</v>
      </c>
      <c r="Q282">
        <v>1.97864</v>
      </c>
      <c r="R282">
        <v>2016</v>
      </c>
    </row>
    <row r="283" spans="3:18" x14ac:dyDescent="0.35">
      <c r="C283" t="s">
        <v>146</v>
      </c>
      <c r="D283" t="s">
        <v>91</v>
      </c>
      <c r="E283">
        <v>122</v>
      </c>
      <c r="F283">
        <v>4.3559999999999999</v>
      </c>
      <c r="H283">
        <v>4.2590000000000003</v>
      </c>
      <c r="I283">
        <v>4.4530000000000003</v>
      </c>
      <c r="J283">
        <v>0.52266999999999997</v>
      </c>
      <c r="K283">
        <v>0.76239999999999997</v>
      </c>
      <c r="M283">
        <v>0.30147000000000002</v>
      </c>
      <c r="N283">
        <v>0.40576000000000001</v>
      </c>
      <c r="O283">
        <v>6.6860000000000003E-2</v>
      </c>
      <c r="P283">
        <v>0.41327999999999998</v>
      </c>
      <c r="Q283">
        <v>1.8832599999999999</v>
      </c>
      <c r="R283">
        <v>2016</v>
      </c>
    </row>
    <row r="284" spans="3:18" x14ac:dyDescent="0.35">
      <c r="C284" t="s">
        <v>132</v>
      </c>
      <c r="D284" t="s">
        <v>49</v>
      </c>
      <c r="E284">
        <v>123</v>
      </c>
      <c r="F284">
        <v>4.3239999999999998</v>
      </c>
      <c r="H284">
        <v>4.2359999999999998</v>
      </c>
      <c r="I284">
        <v>4.4119999999999999</v>
      </c>
      <c r="J284">
        <v>0.87287000000000003</v>
      </c>
      <c r="K284">
        <v>1.01413</v>
      </c>
      <c r="M284">
        <v>0.58628000000000002</v>
      </c>
      <c r="N284">
        <v>0.12859000000000001</v>
      </c>
      <c r="O284">
        <v>1.8290000000000001E-2</v>
      </c>
      <c r="P284">
        <v>0.20363000000000001</v>
      </c>
      <c r="Q284">
        <v>1.5006600000000001</v>
      </c>
      <c r="R284">
        <v>2016</v>
      </c>
    </row>
    <row r="285" spans="3:18" x14ac:dyDescent="0.35">
      <c r="C285" t="s">
        <v>135</v>
      </c>
      <c r="D285" t="s">
        <v>91</v>
      </c>
      <c r="E285">
        <v>124</v>
      </c>
      <c r="F285">
        <v>4.2759999999999998</v>
      </c>
      <c r="H285">
        <v>4.1849999999999996</v>
      </c>
      <c r="I285">
        <v>4.367</v>
      </c>
      <c r="J285">
        <v>0.63107000000000002</v>
      </c>
      <c r="K285">
        <v>0.49353000000000002</v>
      </c>
      <c r="M285">
        <v>0.29681000000000002</v>
      </c>
      <c r="N285">
        <v>0.40972999999999998</v>
      </c>
      <c r="O285">
        <v>3.2599999999999997E-2</v>
      </c>
      <c r="P285">
        <v>0.21203</v>
      </c>
      <c r="Q285">
        <v>2.2002000000000002</v>
      </c>
      <c r="R285">
        <v>2016</v>
      </c>
    </row>
    <row r="286" spans="3:18" x14ac:dyDescent="0.35">
      <c r="C286" t="s">
        <v>141</v>
      </c>
      <c r="D286" t="s">
        <v>91</v>
      </c>
      <c r="E286">
        <v>125</v>
      </c>
      <c r="F286">
        <v>4.2720000000000002</v>
      </c>
      <c r="H286">
        <v>4.1909999999999998</v>
      </c>
      <c r="I286">
        <v>4.3529999999999998</v>
      </c>
      <c r="J286">
        <v>5.6610000000000001E-2</v>
      </c>
      <c r="K286">
        <v>0.80676000000000003</v>
      </c>
      <c r="M286">
        <v>0.188</v>
      </c>
      <c r="N286">
        <v>0.15601999999999999</v>
      </c>
      <c r="O286">
        <v>6.0749999999999998E-2</v>
      </c>
      <c r="P286">
        <v>0.25457999999999997</v>
      </c>
      <c r="Q286">
        <v>2.7492399999999999</v>
      </c>
      <c r="R286">
        <v>2016</v>
      </c>
    </row>
    <row r="287" spans="3:18" x14ac:dyDescent="0.35">
      <c r="C287" t="s">
        <v>151</v>
      </c>
      <c r="D287" t="s">
        <v>49</v>
      </c>
      <c r="E287">
        <v>126</v>
      </c>
      <c r="F287">
        <v>4.2519999999999998</v>
      </c>
      <c r="H287">
        <v>4.1639999999999997</v>
      </c>
      <c r="I287">
        <v>4.34</v>
      </c>
      <c r="J287">
        <v>0.83792</v>
      </c>
      <c r="K287">
        <v>0.19248999999999999</v>
      </c>
      <c r="M287">
        <v>0.64034999999999997</v>
      </c>
      <c r="N287">
        <v>0.32461000000000001</v>
      </c>
      <c r="O287">
        <v>0.31879999999999997</v>
      </c>
      <c r="P287">
        <v>6.7860000000000004E-2</v>
      </c>
      <c r="Q287">
        <v>1.8703099999999999</v>
      </c>
      <c r="R287">
        <v>2016</v>
      </c>
    </row>
    <row r="288" spans="3:18" x14ac:dyDescent="0.35">
      <c r="C288" t="s">
        <v>160</v>
      </c>
      <c r="D288" t="s">
        <v>91</v>
      </c>
      <c r="E288">
        <v>127</v>
      </c>
      <c r="F288">
        <v>4.2359999999999998</v>
      </c>
      <c r="H288">
        <v>4.1070000000000002</v>
      </c>
      <c r="I288">
        <v>4.3650000000000002</v>
      </c>
      <c r="J288">
        <v>0.77109000000000005</v>
      </c>
      <c r="K288">
        <v>0.47799000000000003</v>
      </c>
      <c r="M288">
        <v>0.28211999999999998</v>
      </c>
      <c r="N288">
        <v>0.37938</v>
      </c>
      <c r="O288">
        <v>9.7530000000000006E-2</v>
      </c>
      <c r="P288">
        <v>0.12077</v>
      </c>
      <c r="Q288">
        <v>2.1068099999999998</v>
      </c>
      <c r="R288">
        <v>2016</v>
      </c>
    </row>
    <row r="289" spans="3:18" x14ac:dyDescent="0.35">
      <c r="C289" t="s">
        <v>163</v>
      </c>
      <c r="D289" t="s">
        <v>91</v>
      </c>
      <c r="E289">
        <v>128</v>
      </c>
      <c r="F289">
        <v>4.2190000000000003</v>
      </c>
      <c r="H289">
        <v>4.1509999999999998</v>
      </c>
      <c r="I289">
        <v>4.2869999999999999</v>
      </c>
      <c r="J289">
        <v>0.44313999999999998</v>
      </c>
      <c r="K289">
        <v>0.77415999999999996</v>
      </c>
      <c r="M289">
        <v>0.40456999999999999</v>
      </c>
      <c r="N289">
        <v>0.31056</v>
      </c>
      <c r="O289">
        <v>0.11681</v>
      </c>
      <c r="P289">
        <v>0.19103000000000001</v>
      </c>
      <c r="Q289">
        <v>1.97861</v>
      </c>
      <c r="R289">
        <v>2016</v>
      </c>
    </row>
    <row r="290" spans="3:18" x14ac:dyDescent="0.35">
      <c r="C290" t="s">
        <v>155</v>
      </c>
      <c r="D290" t="s">
        <v>49</v>
      </c>
      <c r="E290">
        <v>129</v>
      </c>
      <c r="F290">
        <v>4.2169999999999996</v>
      </c>
      <c r="H290">
        <v>4.1040000000000001</v>
      </c>
      <c r="I290">
        <v>4.33</v>
      </c>
      <c r="J290">
        <v>1.1130599999999999</v>
      </c>
      <c r="K290">
        <v>0.92542000000000002</v>
      </c>
      <c r="M290">
        <v>0.67806</v>
      </c>
      <c r="N290">
        <v>0.21218999999999999</v>
      </c>
      <c r="O290">
        <v>6.1500000000000001E-3</v>
      </c>
      <c r="P290">
        <v>0.12792999999999999</v>
      </c>
      <c r="Q290">
        <v>1.15377</v>
      </c>
      <c r="R290">
        <v>2016</v>
      </c>
    </row>
    <row r="291" spans="3:18" x14ac:dyDescent="0.35">
      <c r="C291" t="s">
        <v>145</v>
      </c>
      <c r="D291" t="s">
        <v>91</v>
      </c>
      <c r="E291">
        <v>130</v>
      </c>
      <c r="F291">
        <v>4.2009999999999996</v>
      </c>
      <c r="H291">
        <v>4.1269999999999998</v>
      </c>
      <c r="I291">
        <v>4.2750000000000004</v>
      </c>
      <c r="J291">
        <v>0.61390999999999996</v>
      </c>
      <c r="K291">
        <v>0.84141999999999995</v>
      </c>
      <c r="M291">
        <v>0.28638999999999998</v>
      </c>
      <c r="N291">
        <v>0.1268</v>
      </c>
      <c r="O291">
        <v>0.17954999999999999</v>
      </c>
      <c r="P291">
        <v>0.22686000000000001</v>
      </c>
      <c r="Q291">
        <v>1.9262999999999999</v>
      </c>
      <c r="R291">
        <v>2016</v>
      </c>
    </row>
    <row r="292" spans="3:18" x14ac:dyDescent="0.35">
      <c r="C292" t="s">
        <v>136</v>
      </c>
      <c r="D292" t="s">
        <v>91</v>
      </c>
      <c r="E292">
        <v>131</v>
      </c>
      <c r="F292">
        <v>4.1929999999999996</v>
      </c>
      <c r="H292">
        <v>4.101</v>
      </c>
      <c r="I292">
        <v>4.2850000000000001</v>
      </c>
      <c r="J292">
        <v>0.35041</v>
      </c>
      <c r="K292">
        <v>0.71477999999999997</v>
      </c>
      <c r="M292">
        <v>0.1595</v>
      </c>
      <c r="N292">
        <v>0.25429000000000002</v>
      </c>
      <c r="O292">
        <v>8.5819999999999994E-2</v>
      </c>
      <c r="P292">
        <v>0.18503</v>
      </c>
      <c r="Q292">
        <v>2.4426999999999999</v>
      </c>
      <c r="R292">
        <v>2016</v>
      </c>
    </row>
    <row r="293" spans="3:18" x14ac:dyDescent="0.35">
      <c r="C293" t="s">
        <v>152</v>
      </c>
      <c r="D293" t="s">
        <v>91</v>
      </c>
      <c r="E293">
        <v>132</v>
      </c>
      <c r="F293">
        <v>4.1559999999999997</v>
      </c>
      <c r="H293">
        <v>4.0410000000000004</v>
      </c>
      <c r="I293">
        <v>4.2709999999999999</v>
      </c>
      <c r="J293">
        <v>8.7090000000000001E-2</v>
      </c>
      <c r="K293">
        <v>0.14699999999999999</v>
      </c>
      <c r="M293">
        <v>0.29364000000000001</v>
      </c>
      <c r="N293">
        <v>0.4143</v>
      </c>
      <c r="O293">
        <v>7.5639999999999999E-2</v>
      </c>
      <c r="P293">
        <v>0.30968000000000001</v>
      </c>
      <c r="Q293">
        <v>2.8285900000000002</v>
      </c>
      <c r="R293">
        <v>2016</v>
      </c>
    </row>
    <row r="294" spans="3:18" x14ac:dyDescent="0.35">
      <c r="C294" t="s">
        <v>139</v>
      </c>
      <c r="D294" t="s">
        <v>91</v>
      </c>
      <c r="E294">
        <v>133</v>
      </c>
      <c r="F294">
        <v>4.1390000000000002</v>
      </c>
      <c r="H294">
        <v>3.9279999999999999</v>
      </c>
      <c r="I294">
        <v>4.3499999999999996</v>
      </c>
      <c r="J294">
        <v>0.63068999999999997</v>
      </c>
      <c r="K294">
        <v>0.81928000000000001</v>
      </c>
      <c r="M294">
        <v>0.29759000000000002</v>
      </c>
      <c r="N294">
        <v>0</v>
      </c>
      <c r="O294">
        <v>0.10038999999999999</v>
      </c>
      <c r="P294">
        <v>0.18076999999999999</v>
      </c>
      <c r="Q294">
        <v>2.10995</v>
      </c>
      <c r="R294">
        <v>2016</v>
      </c>
    </row>
    <row r="295" spans="3:18" x14ac:dyDescent="0.35">
      <c r="C295" t="s">
        <v>164</v>
      </c>
      <c r="D295" t="s">
        <v>91</v>
      </c>
      <c r="E295">
        <v>134</v>
      </c>
      <c r="F295">
        <v>4.1210000000000004</v>
      </c>
      <c r="H295">
        <v>4.03</v>
      </c>
      <c r="I295">
        <v>4.2119999999999997</v>
      </c>
      <c r="J295">
        <v>1.1585099999999999</v>
      </c>
      <c r="K295">
        <v>0.72367999999999999</v>
      </c>
      <c r="M295">
        <v>0.34939999999999999</v>
      </c>
      <c r="N295">
        <v>0.28098000000000001</v>
      </c>
      <c r="O295">
        <v>9.3140000000000001E-2</v>
      </c>
      <c r="P295">
        <v>6.2440000000000002E-2</v>
      </c>
      <c r="Q295">
        <v>1.4533199999999999</v>
      </c>
      <c r="R295">
        <v>2016</v>
      </c>
    </row>
    <row r="296" spans="3:18" x14ac:dyDescent="0.35">
      <c r="C296" t="s">
        <v>159</v>
      </c>
      <c r="D296" t="s">
        <v>91</v>
      </c>
      <c r="E296">
        <v>135</v>
      </c>
      <c r="F296">
        <v>4.0730000000000004</v>
      </c>
      <c r="H296">
        <v>3.988</v>
      </c>
      <c r="I296">
        <v>4.1580000000000004</v>
      </c>
      <c r="J296">
        <v>0.31291999999999998</v>
      </c>
      <c r="K296">
        <v>0.86333000000000004</v>
      </c>
      <c r="M296">
        <v>0.16347</v>
      </c>
      <c r="N296">
        <v>0.27544000000000002</v>
      </c>
      <c r="O296">
        <v>0.13647000000000001</v>
      </c>
      <c r="P296">
        <v>0.21063999999999999</v>
      </c>
      <c r="Q296">
        <v>2.1108699999999998</v>
      </c>
      <c r="R296">
        <v>2016</v>
      </c>
    </row>
    <row r="297" spans="3:18" x14ac:dyDescent="0.35">
      <c r="C297" t="s">
        <v>140</v>
      </c>
      <c r="D297" t="s">
        <v>28</v>
      </c>
      <c r="E297">
        <v>136</v>
      </c>
      <c r="F297">
        <v>4.0279999999999996</v>
      </c>
      <c r="H297">
        <v>3.8929999999999998</v>
      </c>
      <c r="I297">
        <v>4.1630000000000003</v>
      </c>
      <c r="J297">
        <v>0.34097</v>
      </c>
      <c r="K297">
        <v>0.29560999999999998</v>
      </c>
      <c r="M297">
        <v>0.27494000000000002</v>
      </c>
      <c r="N297">
        <v>0.12071999999999999</v>
      </c>
      <c r="O297">
        <v>0.14476</v>
      </c>
      <c r="P297">
        <v>0.47958000000000001</v>
      </c>
      <c r="Q297">
        <v>2.3711600000000002</v>
      </c>
      <c r="R297">
        <v>2016</v>
      </c>
    </row>
    <row r="298" spans="3:18" x14ac:dyDescent="0.35">
      <c r="C298" t="s">
        <v>149</v>
      </c>
      <c r="D298" t="s">
        <v>91</v>
      </c>
      <c r="E298">
        <v>137</v>
      </c>
      <c r="F298">
        <v>3.9740000000000002</v>
      </c>
      <c r="H298">
        <v>3.875</v>
      </c>
      <c r="I298">
        <v>4.0730000000000004</v>
      </c>
      <c r="J298">
        <v>1.09426</v>
      </c>
      <c r="K298">
        <v>0.89185999999999999</v>
      </c>
      <c r="M298">
        <v>0.34752</v>
      </c>
      <c r="N298">
        <v>0.44089</v>
      </c>
      <c r="O298">
        <v>0.10768999999999999</v>
      </c>
      <c r="P298">
        <v>0.12425</v>
      </c>
      <c r="Q298">
        <v>0.96740999999999999</v>
      </c>
      <c r="R298">
        <v>2016</v>
      </c>
    </row>
    <row r="299" spans="3:18" x14ac:dyDescent="0.35">
      <c r="C299" t="s">
        <v>161</v>
      </c>
      <c r="D299" t="s">
        <v>91</v>
      </c>
      <c r="E299">
        <v>138</v>
      </c>
      <c r="F299">
        <v>3.956</v>
      </c>
      <c r="H299">
        <v>3.86</v>
      </c>
      <c r="I299">
        <v>4.0519999999999996</v>
      </c>
      <c r="J299">
        <v>0.27509</v>
      </c>
      <c r="K299">
        <v>0.60323000000000004</v>
      </c>
      <c r="M299">
        <v>0.29981000000000002</v>
      </c>
      <c r="N299">
        <v>0.15412000000000001</v>
      </c>
      <c r="O299">
        <v>0.18437000000000001</v>
      </c>
      <c r="P299">
        <v>0.1827</v>
      </c>
      <c r="Q299">
        <v>2.2563200000000001</v>
      </c>
      <c r="R299">
        <v>2016</v>
      </c>
    </row>
    <row r="300" spans="3:18" x14ac:dyDescent="0.35">
      <c r="C300" t="s">
        <v>172</v>
      </c>
      <c r="D300" t="s">
        <v>91</v>
      </c>
      <c r="E300">
        <v>139</v>
      </c>
      <c r="F300">
        <v>3.9159999999999999</v>
      </c>
      <c r="H300">
        <v>3.8260000000000001</v>
      </c>
      <c r="I300">
        <v>4.0060000000000002</v>
      </c>
      <c r="J300">
        <v>0.55506999999999995</v>
      </c>
      <c r="K300">
        <v>0.57576000000000005</v>
      </c>
      <c r="M300">
        <v>4.4760000000000001E-2</v>
      </c>
      <c r="N300">
        <v>0.40662999999999999</v>
      </c>
      <c r="O300">
        <v>0.15529999999999999</v>
      </c>
      <c r="P300">
        <v>0.20338000000000001</v>
      </c>
      <c r="Q300">
        <v>1.97478</v>
      </c>
      <c r="R300">
        <v>2016</v>
      </c>
    </row>
    <row r="301" spans="3:18" x14ac:dyDescent="0.35">
      <c r="C301" t="s">
        <v>166</v>
      </c>
      <c r="D301" t="s">
        <v>41</v>
      </c>
      <c r="E301">
        <v>140</v>
      </c>
      <c r="F301">
        <v>3.907</v>
      </c>
      <c r="H301">
        <v>3.798</v>
      </c>
      <c r="I301">
        <v>4.016</v>
      </c>
      <c r="J301">
        <v>0.55603999999999998</v>
      </c>
      <c r="K301">
        <v>0.53749999999999998</v>
      </c>
      <c r="M301">
        <v>0.42493999999999998</v>
      </c>
      <c r="N301">
        <v>0.58852000000000004</v>
      </c>
      <c r="O301">
        <v>8.0920000000000006E-2</v>
      </c>
      <c r="P301">
        <v>0.40339000000000003</v>
      </c>
      <c r="Q301">
        <v>1.3157300000000001</v>
      </c>
      <c r="R301">
        <v>2016</v>
      </c>
    </row>
    <row r="302" spans="3:18" x14ac:dyDescent="0.35">
      <c r="C302" t="s">
        <v>158</v>
      </c>
      <c r="D302" t="s">
        <v>91</v>
      </c>
      <c r="E302">
        <v>141</v>
      </c>
      <c r="F302">
        <v>3.8660000000000001</v>
      </c>
      <c r="H302">
        <v>3.7530000000000001</v>
      </c>
      <c r="I302">
        <v>3.9790000000000001</v>
      </c>
      <c r="J302">
        <v>0.84731000000000001</v>
      </c>
      <c r="K302">
        <v>0.66366000000000003</v>
      </c>
      <c r="M302">
        <v>4.9910000000000003E-2</v>
      </c>
      <c r="N302">
        <v>5.8900000000000003E-3</v>
      </c>
      <c r="O302">
        <v>8.4339999999999998E-2</v>
      </c>
      <c r="P302">
        <v>0.12071</v>
      </c>
      <c r="Q302">
        <v>2.0945900000000002</v>
      </c>
      <c r="R302">
        <v>2016</v>
      </c>
    </row>
    <row r="303" spans="3:18" x14ac:dyDescent="0.35">
      <c r="C303" t="s">
        <v>165</v>
      </c>
      <c r="D303" t="s">
        <v>91</v>
      </c>
      <c r="E303">
        <v>142</v>
      </c>
      <c r="F303">
        <v>3.8559999999999999</v>
      </c>
      <c r="H303">
        <v>3.7810000000000001</v>
      </c>
      <c r="I303">
        <v>3.931</v>
      </c>
      <c r="J303">
        <v>0.13270000000000001</v>
      </c>
      <c r="K303">
        <v>0.60529999999999995</v>
      </c>
      <c r="M303">
        <v>0.26162000000000002</v>
      </c>
      <c r="N303">
        <v>0.38041000000000003</v>
      </c>
      <c r="O303">
        <v>0.17176</v>
      </c>
      <c r="P303">
        <v>0.2097</v>
      </c>
      <c r="Q303">
        <v>2.0946899999999999</v>
      </c>
      <c r="R303">
        <v>2016</v>
      </c>
    </row>
    <row r="304" spans="3:18" x14ac:dyDescent="0.35">
      <c r="C304" t="s">
        <v>212</v>
      </c>
      <c r="D304" t="s">
        <v>91</v>
      </c>
      <c r="E304">
        <v>143</v>
      </c>
      <c r="F304">
        <v>3.8319999999999999</v>
      </c>
      <c r="H304">
        <v>3.5960000000000001</v>
      </c>
      <c r="I304">
        <v>4.0679999999999996</v>
      </c>
      <c r="J304">
        <v>0.39394000000000001</v>
      </c>
      <c r="K304">
        <v>0.18518999999999999</v>
      </c>
      <c r="M304">
        <v>0.15781000000000001</v>
      </c>
      <c r="N304">
        <v>0.19661999999999999</v>
      </c>
      <c r="O304">
        <v>0.13014999999999999</v>
      </c>
      <c r="P304">
        <v>0.25899</v>
      </c>
      <c r="Q304">
        <v>2.50929</v>
      </c>
      <c r="R304">
        <v>2016</v>
      </c>
    </row>
    <row r="305" spans="3:18" x14ac:dyDescent="0.35">
      <c r="C305" t="s">
        <v>170</v>
      </c>
      <c r="D305" t="s">
        <v>91</v>
      </c>
      <c r="E305">
        <v>144</v>
      </c>
      <c r="F305">
        <v>3.7629999999999999</v>
      </c>
      <c r="H305">
        <v>3.6720000000000002</v>
      </c>
      <c r="I305">
        <v>3.8540000000000001</v>
      </c>
      <c r="J305">
        <v>0.42214000000000002</v>
      </c>
      <c r="K305">
        <v>0.63178000000000001</v>
      </c>
      <c r="M305">
        <v>3.8240000000000003E-2</v>
      </c>
      <c r="N305">
        <v>0.12806999999999999</v>
      </c>
      <c r="O305">
        <v>4.9520000000000002E-2</v>
      </c>
      <c r="P305">
        <v>0.18667</v>
      </c>
      <c r="Q305">
        <v>2.3063699999999998</v>
      </c>
      <c r="R305">
        <v>2016</v>
      </c>
    </row>
    <row r="306" spans="3:18" x14ac:dyDescent="0.35">
      <c r="C306" t="s">
        <v>173</v>
      </c>
      <c r="D306" t="s">
        <v>91</v>
      </c>
      <c r="E306">
        <v>145</v>
      </c>
      <c r="F306">
        <v>3.7389999999999999</v>
      </c>
      <c r="H306">
        <v>3.6469999999999998</v>
      </c>
      <c r="I306">
        <v>3.831</v>
      </c>
      <c r="J306">
        <v>0.31995000000000001</v>
      </c>
      <c r="K306">
        <v>0.63053999999999999</v>
      </c>
      <c r="M306">
        <v>0.21296999999999999</v>
      </c>
      <c r="N306">
        <v>0.3337</v>
      </c>
      <c r="O306">
        <v>0.12533</v>
      </c>
      <c r="P306">
        <v>0.24353</v>
      </c>
      <c r="Q306">
        <v>1.8731899999999999</v>
      </c>
      <c r="R306">
        <v>2016</v>
      </c>
    </row>
    <row r="307" spans="3:18" x14ac:dyDescent="0.35">
      <c r="C307" t="s">
        <v>162</v>
      </c>
      <c r="D307" t="s">
        <v>91</v>
      </c>
      <c r="E307">
        <v>145</v>
      </c>
      <c r="F307">
        <v>3.7389999999999999</v>
      </c>
      <c r="H307">
        <v>3.629</v>
      </c>
      <c r="I307">
        <v>3.8490000000000002</v>
      </c>
      <c r="J307">
        <v>0.34719</v>
      </c>
      <c r="K307">
        <v>0.90981000000000001</v>
      </c>
      <c r="M307">
        <v>0.19625000000000001</v>
      </c>
      <c r="N307">
        <v>0.43652999999999997</v>
      </c>
      <c r="O307">
        <v>6.4420000000000005E-2</v>
      </c>
      <c r="P307">
        <v>0.27101999999999998</v>
      </c>
      <c r="Q307">
        <v>1.51416</v>
      </c>
      <c r="R307">
        <v>2016</v>
      </c>
    </row>
    <row r="308" spans="3:18" x14ac:dyDescent="0.35">
      <c r="C308" t="s">
        <v>157</v>
      </c>
      <c r="D308" t="s">
        <v>26</v>
      </c>
      <c r="E308">
        <v>147</v>
      </c>
      <c r="F308">
        <v>3.7240000000000002</v>
      </c>
      <c r="H308">
        <v>3.621</v>
      </c>
      <c r="I308">
        <v>3.827</v>
      </c>
      <c r="J308">
        <v>0.57938999999999996</v>
      </c>
      <c r="K308">
        <v>0.47493000000000002</v>
      </c>
      <c r="M308">
        <v>0.31047999999999998</v>
      </c>
      <c r="N308">
        <v>0.22869999999999999</v>
      </c>
      <c r="O308">
        <v>5.892E-2</v>
      </c>
      <c r="P308">
        <v>9.8210000000000006E-2</v>
      </c>
      <c r="Q308">
        <v>1.97295</v>
      </c>
      <c r="R308">
        <v>2016</v>
      </c>
    </row>
    <row r="309" spans="3:18" x14ac:dyDescent="0.35">
      <c r="C309" t="s">
        <v>168</v>
      </c>
      <c r="D309" t="s">
        <v>91</v>
      </c>
      <c r="E309">
        <v>148</v>
      </c>
      <c r="F309">
        <v>3.6949999999999998</v>
      </c>
      <c r="H309">
        <v>3.621</v>
      </c>
      <c r="I309">
        <v>3.7690000000000001</v>
      </c>
      <c r="J309">
        <v>0.27954000000000001</v>
      </c>
      <c r="K309">
        <v>0.46115</v>
      </c>
      <c r="M309">
        <v>0.37108999999999998</v>
      </c>
      <c r="N309">
        <v>0.13683999999999999</v>
      </c>
      <c r="O309">
        <v>7.5060000000000002E-2</v>
      </c>
      <c r="P309">
        <v>0.22040000000000001</v>
      </c>
      <c r="Q309">
        <v>2.1507499999999999</v>
      </c>
      <c r="R309">
        <v>2016</v>
      </c>
    </row>
    <row r="310" spans="3:18" x14ac:dyDescent="0.35">
      <c r="C310" t="s">
        <v>167</v>
      </c>
      <c r="D310" t="s">
        <v>91</v>
      </c>
      <c r="E310">
        <v>149</v>
      </c>
      <c r="F310">
        <v>3.6659999999999999</v>
      </c>
      <c r="H310">
        <v>3.5609999999999999</v>
      </c>
      <c r="I310">
        <v>3.7709999999999999</v>
      </c>
      <c r="J310">
        <v>0.47155000000000002</v>
      </c>
      <c r="K310">
        <v>0.77622999999999998</v>
      </c>
      <c r="M310">
        <v>0.35699999999999998</v>
      </c>
      <c r="N310">
        <v>0.31759999999999999</v>
      </c>
      <c r="O310">
        <v>5.0990000000000001E-2</v>
      </c>
      <c r="P310">
        <v>0.31472</v>
      </c>
      <c r="Q310">
        <v>1.3776900000000001</v>
      </c>
      <c r="R310">
        <v>2016</v>
      </c>
    </row>
    <row r="311" spans="3:18" x14ac:dyDescent="0.35">
      <c r="C311" t="s">
        <v>137</v>
      </c>
      <c r="D311" t="s">
        <v>91</v>
      </c>
      <c r="E311">
        <v>150</v>
      </c>
      <c r="F311">
        <v>3.6219999999999999</v>
      </c>
      <c r="H311">
        <v>3.4630000000000001</v>
      </c>
      <c r="I311">
        <v>3.7810000000000001</v>
      </c>
      <c r="J311">
        <v>0.10706</v>
      </c>
      <c r="K311">
        <v>0.50353000000000003</v>
      </c>
      <c r="M311">
        <v>0.23164999999999999</v>
      </c>
      <c r="N311">
        <v>0.25747999999999999</v>
      </c>
      <c r="O311">
        <v>4.8520000000000001E-2</v>
      </c>
      <c r="P311">
        <v>0.24063000000000001</v>
      </c>
      <c r="Q311">
        <v>2.2328399999999999</v>
      </c>
      <c r="R311">
        <v>2016</v>
      </c>
    </row>
    <row r="312" spans="3:18" x14ac:dyDescent="0.35">
      <c r="C312" t="s">
        <v>171</v>
      </c>
      <c r="D312" t="s">
        <v>91</v>
      </c>
      <c r="E312">
        <v>151</v>
      </c>
      <c r="F312">
        <v>3.6070000000000002</v>
      </c>
      <c r="H312">
        <v>3.5329999999999999</v>
      </c>
      <c r="I312">
        <v>3.681</v>
      </c>
      <c r="J312">
        <v>0.22414999999999999</v>
      </c>
      <c r="K312">
        <v>0.31090000000000001</v>
      </c>
      <c r="M312">
        <v>0.18829000000000001</v>
      </c>
      <c r="N312">
        <v>0.30953000000000003</v>
      </c>
      <c r="O312">
        <v>0.1192</v>
      </c>
      <c r="P312">
        <v>0.29914000000000002</v>
      </c>
      <c r="Q312">
        <v>2.15604</v>
      </c>
      <c r="R312">
        <v>2016</v>
      </c>
    </row>
    <row r="313" spans="3:18" x14ac:dyDescent="0.35">
      <c r="C313" t="s">
        <v>175</v>
      </c>
      <c r="D313" t="s">
        <v>91</v>
      </c>
      <c r="E313">
        <v>152</v>
      </c>
      <c r="F313">
        <v>3.5150000000000001</v>
      </c>
      <c r="H313">
        <v>3.444</v>
      </c>
      <c r="I313">
        <v>3.5859999999999999</v>
      </c>
      <c r="J313">
        <v>0.32845999999999997</v>
      </c>
      <c r="K313">
        <v>0.61585999999999996</v>
      </c>
      <c r="M313">
        <v>0.31864999999999999</v>
      </c>
      <c r="N313">
        <v>0.54320000000000002</v>
      </c>
      <c r="O313">
        <v>0.50521000000000005</v>
      </c>
      <c r="P313">
        <v>0.23552000000000001</v>
      </c>
      <c r="Q313">
        <v>0.96819</v>
      </c>
      <c r="R313">
        <v>2016</v>
      </c>
    </row>
    <row r="314" spans="3:18" x14ac:dyDescent="0.35">
      <c r="C314" t="s">
        <v>176</v>
      </c>
      <c r="D314" t="s">
        <v>91</v>
      </c>
      <c r="E314">
        <v>153</v>
      </c>
      <c r="F314">
        <v>3.484</v>
      </c>
      <c r="H314">
        <v>3.4039999999999999</v>
      </c>
      <c r="I314">
        <v>3.5640000000000001</v>
      </c>
      <c r="J314">
        <v>0.39499000000000001</v>
      </c>
      <c r="K314">
        <v>0.10419</v>
      </c>
      <c r="M314">
        <v>0.21027999999999999</v>
      </c>
      <c r="N314">
        <v>0.39746999999999999</v>
      </c>
      <c r="O314">
        <v>6.6809999999999994E-2</v>
      </c>
      <c r="P314">
        <v>0.20180000000000001</v>
      </c>
      <c r="Q314">
        <v>2.10812</v>
      </c>
      <c r="R314">
        <v>2016</v>
      </c>
    </row>
    <row r="315" spans="3:18" x14ac:dyDescent="0.35">
      <c r="C315" t="s">
        <v>174</v>
      </c>
      <c r="D315" t="s">
        <v>100</v>
      </c>
      <c r="E315">
        <v>154</v>
      </c>
      <c r="F315">
        <v>3.36</v>
      </c>
      <c r="H315">
        <v>3.2879999999999998</v>
      </c>
      <c r="I315">
        <v>3.4319999999999999</v>
      </c>
      <c r="J315">
        <v>0.38227</v>
      </c>
      <c r="K315">
        <v>0.11037</v>
      </c>
      <c r="M315">
        <v>0.17344000000000001</v>
      </c>
      <c r="N315">
        <v>0.1643</v>
      </c>
      <c r="O315">
        <v>7.1120000000000003E-2</v>
      </c>
      <c r="P315">
        <v>0.31268000000000001</v>
      </c>
      <c r="Q315">
        <v>2.1455799999999998</v>
      </c>
      <c r="R315">
        <v>2016</v>
      </c>
    </row>
    <row r="316" spans="3:18" x14ac:dyDescent="0.35">
      <c r="C316" t="s">
        <v>179</v>
      </c>
      <c r="D316" t="s">
        <v>91</v>
      </c>
      <c r="E316">
        <v>155</v>
      </c>
      <c r="F316">
        <v>3.3029999999999999</v>
      </c>
      <c r="H316">
        <v>3.1920000000000002</v>
      </c>
      <c r="I316">
        <v>3.4140000000000001</v>
      </c>
      <c r="J316">
        <v>0.28122999999999998</v>
      </c>
      <c r="K316">
        <v>0</v>
      </c>
      <c r="M316">
        <v>0.24811</v>
      </c>
      <c r="N316">
        <v>0.34677999999999998</v>
      </c>
      <c r="O316">
        <v>0.11587</v>
      </c>
      <c r="P316">
        <v>0.17516999999999999</v>
      </c>
      <c r="Q316">
        <v>2.1354000000000002</v>
      </c>
      <c r="R316">
        <v>2016</v>
      </c>
    </row>
    <row r="317" spans="3:18" x14ac:dyDescent="0.35">
      <c r="C317" t="s">
        <v>177</v>
      </c>
      <c r="D317" t="s">
        <v>26</v>
      </c>
      <c r="E317">
        <v>156</v>
      </c>
      <c r="F317">
        <v>3.069</v>
      </c>
      <c r="H317">
        <v>2.9359999999999999</v>
      </c>
      <c r="I317">
        <v>3.202</v>
      </c>
      <c r="J317">
        <v>0.74719000000000002</v>
      </c>
      <c r="K317">
        <v>0.14865999999999999</v>
      </c>
      <c r="M317">
        <v>0.62994000000000006</v>
      </c>
      <c r="N317">
        <v>6.9120000000000001E-2</v>
      </c>
      <c r="O317">
        <v>0.17233000000000001</v>
      </c>
      <c r="P317">
        <v>0.48397000000000001</v>
      </c>
      <c r="Q317">
        <v>0.81789000000000001</v>
      </c>
      <c r="R317">
        <v>2016</v>
      </c>
    </row>
    <row r="318" spans="3:18" x14ac:dyDescent="0.35">
      <c r="C318" t="s">
        <v>178</v>
      </c>
      <c r="D318" t="s">
        <v>91</v>
      </c>
      <c r="E318">
        <v>157</v>
      </c>
      <c r="F318">
        <v>2.9049999999999998</v>
      </c>
      <c r="H318">
        <v>2.7320000000000002</v>
      </c>
      <c r="I318">
        <v>3.0779999999999998</v>
      </c>
      <c r="J318">
        <v>6.8309999999999996E-2</v>
      </c>
      <c r="K318">
        <v>0.23441999999999999</v>
      </c>
      <c r="M318">
        <v>0.15747</v>
      </c>
      <c r="N318">
        <v>4.3200000000000002E-2</v>
      </c>
      <c r="O318">
        <v>9.4189999999999996E-2</v>
      </c>
      <c r="P318">
        <v>0.2029</v>
      </c>
      <c r="Q318">
        <v>2.1040399999999999</v>
      </c>
      <c r="R318">
        <v>2016</v>
      </c>
    </row>
    <row r="319" spans="3:18" x14ac:dyDescent="0.35">
      <c r="C319" t="s">
        <v>16</v>
      </c>
      <c r="E319">
        <v>1</v>
      </c>
      <c r="F319">
        <v>7.5370001792907697</v>
      </c>
      <c r="H319">
        <v>7.5944448205828703</v>
      </c>
      <c r="I319">
        <v>7.4795555379986798</v>
      </c>
      <c r="J319">
        <v>1.6164631843566899</v>
      </c>
      <c r="K319">
        <v>1.5335235595703101</v>
      </c>
      <c r="M319">
        <v>0.79666650295257602</v>
      </c>
      <c r="N319">
        <v>0.63542258739471402</v>
      </c>
      <c r="O319">
        <v>0.315963834524155</v>
      </c>
      <c r="P319">
        <v>0.36201223731040999</v>
      </c>
      <c r="Q319">
        <v>2.27702665328979</v>
      </c>
      <c r="R319">
        <v>2017</v>
      </c>
    </row>
    <row r="320" spans="3:18" x14ac:dyDescent="0.35">
      <c r="C320" t="s">
        <v>15</v>
      </c>
      <c r="E320">
        <v>2</v>
      </c>
      <c r="F320">
        <v>7.5219998359680202</v>
      </c>
      <c r="H320">
        <v>7.5817280648648699</v>
      </c>
      <c r="I320">
        <v>7.4622716070711599</v>
      </c>
      <c r="J320">
        <v>1.48238301277161</v>
      </c>
      <c r="K320">
        <v>1.5511215925216699</v>
      </c>
      <c r="M320">
        <v>0.79256552457809404</v>
      </c>
      <c r="N320">
        <v>0.62600672245025601</v>
      </c>
      <c r="O320">
        <v>0.40077006816864003</v>
      </c>
      <c r="P320">
        <v>0.35528048872947698</v>
      </c>
      <c r="Q320">
        <v>2.3137073516845699</v>
      </c>
      <c r="R320">
        <v>2017</v>
      </c>
    </row>
    <row r="321" spans="3:18" x14ac:dyDescent="0.35">
      <c r="C321" t="s">
        <v>14</v>
      </c>
      <c r="E321">
        <v>3</v>
      </c>
      <c r="F321">
        <v>7.5040001869201696</v>
      </c>
      <c r="H321">
        <v>7.62203047305346</v>
      </c>
      <c r="I321">
        <v>7.38596990078688</v>
      </c>
      <c r="J321">
        <v>1.4806330204010001</v>
      </c>
      <c r="K321">
        <v>1.6105740070343</v>
      </c>
      <c r="M321">
        <v>0.83355212211608898</v>
      </c>
      <c r="N321">
        <v>0.62716263532638505</v>
      </c>
      <c r="O321">
        <v>0.15352655947208399</v>
      </c>
      <c r="P321">
        <v>0.475540220737457</v>
      </c>
      <c r="Q321">
        <v>2.32271528244019</v>
      </c>
      <c r="R321">
        <v>2017</v>
      </c>
    </row>
    <row r="322" spans="3:18" x14ac:dyDescent="0.35">
      <c r="C322" t="s">
        <v>12</v>
      </c>
      <c r="E322">
        <v>4</v>
      </c>
      <c r="F322">
        <v>7.4939999580383301</v>
      </c>
      <c r="H322">
        <v>7.5617724204063403</v>
      </c>
      <c r="I322">
        <v>7.4262274956703198</v>
      </c>
      <c r="J322">
        <v>1.56497955322266</v>
      </c>
      <c r="K322">
        <v>1.51691174507141</v>
      </c>
      <c r="M322">
        <v>0.85813128948211703</v>
      </c>
      <c r="N322">
        <v>0.62007057666778598</v>
      </c>
      <c r="O322">
        <v>0.367007285356522</v>
      </c>
      <c r="P322">
        <v>0.29054927825927701</v>
      </c>
      <c r="Q322">
        <v>2.2767162322997998</v>
      </c>
      <c r="R322">
        <v>2017</v>
      </c>
    </row>
    <row r="323" spans="3:18" x14ac:dyDescent="0.35">
      <c r="C323" t="s">
        <v>19</v>
      </c>
      <c r="E323">
        <v>5</v>
      </c>
      <c r="F323">
        <v>7.4689998626709002</v>
      </c>
      <c r="H323">
        <v>7.5275420758128204</v>
      </c>
      <c r="I323">
        <v>7.41045764952898</v>
      </c>
      <c r="J323">
        <v>1.4435719251632699</v>
      </c>
      <c r="K323">
        <v>1.5402467250823999</v>
      </c>
      <c r="M323">
        <v>0.80915766954421997</v>
      </c>
      <c r="N323">
        <v>0.61795085668563798</v>
      </c>
      <c r="O323">
        <v>0.38261154294013999</v>
      </c>
      <c r="P323">
        <v>0.24548277258873</v>
      </c>
      <c r="Q323">
        <v>2.4301815032959002</v>
      </c>
      <c r="R323">
        <v>2017</v>
      </c>
    </row>
    <row r="324" spans="3:18" x14ac:dyDescent="0.35">
      <c r="C324" t="s">
        <v>20</v>
      </c>
      <c r="E324">
        <v>6</v>
      </c>
      <c r="F324">
        <v>7.3769998550415004</v>
      </c>
      <c r="H324">
        <v>7.4274258412420702</v>
      </c>
      <c r="I324">
        <v>7.3265738688409296</v>
      </c>
      <c r="J324">
        <v>1.50394463539124</v>
      </c>
      <c r="K324">
        <v>1.42893922328949</v>
      </c>
      <c r="M324">
        <v>0.81069612503051802</v>
      </c>
      <c r="N324">
        <v>0.58538448810577404</v>
      </c>
      <c r="O324">
        <v>0.28266182541847201</v>
      </c>
      <c r="P324">
        <v>0.47048982977867099</v>
      </c>
      <c r="Q324">
        <v>2.2948040962219198</v>
      </c>
      <c r="R324">
        <v>2017</v>
      </c>
    </row>
    <row r="325" spans="3:18" x14ac:dyDescent="0.35">
      <c r="C325" t="s">
        <v>17</v>
      </c>
      <c r="E325">
        <v>7</v>
      </c>
      <c r="F325">
        <v>7.31599998474121</v>
      </c>
      <c r="H325">
        <v>7.3844028353691096</v>
      </c>
      <c r="I325">
        <v>7.2475971341133096</v>
      </c>
      <c r="J325">
        <v>1.47920441627502</v>
      </c>
      <c r="K325">
        <v>1.4813489913940401</v>
      </c>
      <c r="M325">
        <v>0.83455765247345004</v>
      </c>
      <c r="N325">
        <v>0.61110091209411599</v>
      </c>
      <c r="O325">
        <v>0.287371516227722</v>
      </c>
      <c r="P325">
        <v>0.43553972244262701</v>
      </c>
      <c r="Q325">
        <v>2.1872644424438499</v>
      </c>
      <c r="R325">
        <v>2017</v>
      </c>
    </row>
    <row r="326" spans="3:18" x14ac:dyDescent="0.35">
      <c r="C326" t="s">
        <v>22</v>
      </c>
      <c r="E326">
        <v>8</v>
      </c>
      <c r="F326">
        <v>7.3140001296997097</v>
      </c>
      <c r="H326">
        <v>7.3795104418694999</v>
      </c>
      <c r="I326">
        <v>7.2484898175299204</v>
      </c>
      <c r="J326">
        <v>1.40570604801178</v>
      </c>
      <c r="K326">
        <v>1.54819512367249</v>
      </c>
      <c r="M326">
        <v>0.81675970554351796</v>
      </c>
      <c r="N326">
        <v>0.61406213045120195</v>
      </c>
      <c r="O326">
        <v>0.382816702127457</v>
      </c>
      <c r="P326">
        <v>0.50000512599945102</v>
      </c>
      <c r="Q326">
        <v>2.0464563369750999</v>
      </c>
      <c r="R326">
        <v>2017</v>
      </c>
    </row>
    <row r="327" spans="3:18" x14ac:dyDescent="0.35">
      <c r="C327" t="s">
        <v>21</v>
      </c>
      <c r="E327">
        <v>9</v>
      </c>
      <c r="F327">
        <v>7.2839999198913601</v>
      </c>
      <c r="H327">
        <v>7.3440948773920498</v>
      </c>
      <c r="I327">
        <v>7.2239049623906597</v>
      </c>
      <c r="J327">
        <v>1.4943872690200799</v>
      </c>
      <c r="K327">
        <v>1.4781621694564799</v>
      </c>
      <c r="M327">
        <v>0.83087515830993697</v>
      </c>
      <c r="N327">
        <v>0.61292409896850597</v>
      </c>
      <c r="O327">
        <v>0.38439872860908503</v>
      </c>
      <c r="P327">
        <v>0.38539925217628501</v>
      </c>
      <c r="Q327">
        <v>2.0975379943847701</v>
      </c>
      <c r="R327">
        <v>2017</v>
      </c>
    </row>
    <row r="328" spans="3:18" x14ac:dyDescent="0.35">
      <c r="C328" t="s">
        <v>24</v>
      </c>
      <c r="E328">
        <v>10</v>
      </c>
      <c r="F328">
        <v>7.2839999198913601</v>
      </c>
      <c r="H328">
        <v>7.3566512249410199</v>
      </c>
      <c r="I328">
        <v>7.2113486148417003</v>
      </c>
      <c r="J328">
        <v>1.484414935112</v>
      </c>
      <c r="K328">
        <v>1.51004195213318</v>
      </c>
      <c r="M328">
        <v>0.84388679265975997</v>
      </c>
      <c r="N328">
        <v>0.60160738229751598</v>
      </c>
      <c r="O328">
        <v>0.30118373036384599</v>
      </c>
      <c r="P328">
        <v>0.47769924998283397</v>
      </c>
      <c r="Q328">
        <v>2.0652108192443799</v>
      </c>
      <c r="R328">
        <v>2017</v>
      </c>
    </row>
    <row r="329" spans="3:18" x14ac:dyDescent="0.35">
      <c r="C329" t="s">
        <v>25</v>
      </c>
      <c r="E329">
        <v>11</v>
      </c>
      <c r="F329">
        <v>7.2129998207092303</v>
      </c>
      <c r="H329">
        <v>7.2798532564938103</v>
      </c>
      <c r="I329">
        <v>7.1461463849246503</v>
      </c>
      <c r="J329">
        <v>1.37538242340088</v>
      </c>
      <c r="K329">
        <v>1.3762899637222299</v>
      </c>
      <c r="M329">
        <v>0.83840399980545</v>
      </c>
      <c r="N329">
        <v>0.40598860383033802</v>
      </c>
      <c r="O329">
        <v>8.5242100059986101E-2</v>
      </c>
      <c r="P329">
        <v>0.33008265495300299</v>
      </c>
      <c r="Q329">
        <v>2.80175733566284</v>
      </c>
      <c r="R329">
        <v>2017</v>
      </c>
    </row>
    <row r="330" spans="3:18" x14ac:dyDescent="0.35">
      <c r="C330" t="s">
        <v>27</v>
      </c>
      <c r="E330">
        <v>12</v>
      </c>
      <c r="F330">
        <v>7.0789999961853001</v>
      </c>
      <c r="H330">
        <v>7.1681116662919502</v>
      </c>
      <c r="I330">
        <v>6.98988832607865</v>
      </c>
      <c r="J330">
        <v>1.1097062826156601</v>
      </c>
      <c r="K330">
        <v>1.41640365123749</v>
      </c>
      <c r="M330">
        <v>0.75950926542282104</v>
      </c>
      <c r="N330">
        <v>0.58013164997100797</v>
      </c>
      <c r="O330">
        <v>0.100106589496136</v>
      </c>
      <c r="P330">
        <v>0.21461322903633101</v>
      </c>
      <c r="Q330">
        <v>2.8986392021179199</v>
      </c>
      <c r="R330">
        <v>2017</v>
      </c>
    </row>
    <row r="331" spans="3:18" x14ac:dyDescent="0.35">
      <c r="C331" t="s">
        <v>29</v>
      </c>
      <c r="E331">
        <v>13</v>
      </c>
      <c r="F331">
        <v>7.0060000419616699</v>
      </c>
      <c r="H331">
        <v>7.0706698121130502</v>
      </c>
      <c r="I331">
        <v>6.9413302718102896</v>
      </c>
      <c r="J331">
        <v>1.4870972633361801</v>
      </c>
      <c r="K331">
        <v>1.4599449634552</v>
      </c>
      <c r="M331">
        <v>0.81532841920852706</v>
      </c>
      <c r="N331">
        <v>0.56776618957519498</v>
      </c>
      <c r="O331">
        <v>0.221060365438461</v>
      </c>
      <c r="P331">
        <v>0.31647232174873402</v>
      </c>
      <c r="Q331">
        <v>2.1385064125061</v>
      </c>
      <c r="R331">
        <v>2017</v>
      </c>
    </row>
    <row r="332" spans="3:18" x14ac:dyDescent="0.35">
      <c r="C332" t="s">
        <v>31</v>
      </c>
      <c r="E332">
        <v>14</v>
      </c>
      <c r="F332">
        <v>6.9930000305175799</v>
      </c>
      <c r="H332">
        <v>7.0746567475795699</v>
      </c>
      <c r="I332">
        <v>6.9113433134555802</v>
      </c>
      <c r="J332">
        <v>1.54625928401947</v>
      </c>
      <c r="K332">
        <v>1.4199205636978101</v>
      </c>
      <c r="M332">
        <v>0.77428662776946999</v>
      </c>
      <c r="N332">
        <v>0.50574052333831798</v>
      </c>
      <c r="O332">
        <v>0.135638788342476</v>
      </c>
      <c r="P332">
        <v>0.39257878065109297</v>
      </c>
      <c r="Q332">
        <v>2.2181134223938002</v>
      </c>
      <c r="R332">
        <v>2017</v>
      </c>
    </row>
    <row r="333" spans="3:18" x14ac:dyDescent="0.35">
      <c r="C333" t="s">
        <v>34</v>
      </c>
      <c r="E333">
        <v>15</v>
      </c>
      <c r="F333">
        <v>6.9770002365112296</v>
      </c>
      <c r="H333">
        <v>7.04335166752338</v>
      </c>
      <c r="I333">
        <v>6.91064880549908</v>
      </c>
      <c r="J333">
        <v>1.53570663928986</v>
      </c>
      <c r="K333">
        <v>1.5582311153411901</v>
      </c>
      <c r="M333">
        <v>0.80978262424469005</v>
      </c>
      <c r="N333">
        <v>0.57311034202575695</v>
      </c>
      <c r="O333">
        <v>0.29838815331459001</v>
      </c>
      <c r="P333">
        <v>0.42785832285880998</v>
      </c>
      <c r="Q333">
        <v>1.7738690376281701</v>
      </c>
      <c r="R333">
        <v>2017</v>
      </c>
    </row>
    <row r="334" spans="3:18" x14ac:dyDescent="0.35">
      <c r="C334" t="s">
        <v>43</v>
      </c>
      <c r="E334">
        <v>16</v>
      </c>
      <c r="F334">
        <v>6.9510002136230504</v>
      </c>
      <c r="H334">
        <v>7.0053815692663202</v>
      </c>
      <c r="I334">
        <v>6.89661885797977</v>
      </c>
      <c r="J334">
        <v>1.4879233837127701</v>
      </c>
      <c r="K334">
        <v>1.4725203514099099</v>
      </c>
      <c r="M334">
        <v>0.79895073175430298</v>
      </c>
      <c r="N334">
        <v>0.56251138448715199</v>
      </c>
      <c r="O334">
        <v>0.276731938123703</v>
      </c>
      <c r="P334">
        <v>0.33626917004585299</v>
      </c>
      <c r="Q334">
        <v>2.0157699584960902</v>
      </c>
      <c r="R334">
        <v>2017</v>
      </c>
    </row>
    <row r="335" spans="3:18" x14ac:dyDescent="0.35">
      <c r="C335" t="s">
        <v>35</v>
      </c>
      <c r="E335">
        <v>17</v>
      </c>
      <c r="F335">
        <v>6.8909997940063503</v>
      </c>
      <c r="H335">
        <v>6.9558207504451302</v>
      </c>
      <c r="I335">
        <v>6.8261788375675696</v>
      </c>
      <c r="J335">
        <v>1.4637807607650799</v>
      </c>
      <c r="K335">
        <v>1.46231269836426</v>
      </c>
      <c r="M335">
        <v>0.81809186935424805</v>
      </c>
      <c r="N335">
        <v>0.53977072238922097</v>
      </c>
      <c r="O335">
        <v>0.25134313106536899</v>
      </c>
      <c r="P335">
        <v>0.23150333762168901</v>
      </c>
      <c r="Q335">
        <v>2.1242103576660201</v>
      </c>
      <c r="R335">
        <v>2017</v>
      </c>
    </row>
    <row r="336" spans="3:18" x14ac:dyDescent="0.35">
      <c r="C336" t="s">
        <v>33</v>
      </c>
      <c r="E336">
        <v>18</v>
      </c>
      <c r="F336">
        <v>6.8629999160766602</v>
      </c>
      <c r="H336">
        <v>6.9236860998719898</v>
      </c>
      <c r="I336">
        <v>6.8023137322813296</v>
      </c>
      <c r="J336">
        <v>1.74194359779358</v>
      </c>
      <c r="K336">
        <v>1.4575836658477801</v>
      </c>
      <c r="M336">
        <v>0.84508949518203702</v>
      </c>
      <c r="N336">
        <v>0.59662789106368996</v>
      </c>
      <c r="O336">
        <v>0.31883442401885997</v>
      </c>
      <c r="P336">
        <v>0.283180981874466</v>
      </c>
      <c r="Q336">
        <v>1.61951208114624</v>
      </c>
      <c r="R336">
        <v>2017</v>
      </c>
    </row>
    <row r="337" spans="3:18" x14ac:dyDescent="0.35">
      <c r="C337" t="s">
        <v>37</v>
      </c>
      <c r="E337">
        <v>19</v>
      </c>
      <c r="F337">
        <v>6.7140002250671396</v>
      </c>
      <c r="H337">
        <v>6.7837917611002903</v>
      </c>
      <c r="I337">
        <v>6.6442086890339898</v>
      </c>
      <c r="J337">
        <v>1.44163393974304</v>
      </c>
      <c r="K337">
        <v>1.49646008014679</v>
      </c>
      <c r="M337">
        <v>0.80533593893051103</v>
      </c>
      <c r="N337">
        <v>0.50819003582000699</v>
      </c>
      <c r="O337">
        <v>0.265428066253662</v>
      </c>
      <c r="P337">
        <v>0.492774158716202</v>
      </c>
      <c r="Q337">
        <v>1.7041435241699201</v>
      </c>
      <c r="R337">
        <v>2017</v>
      </c>
    </row>
    <row r="338" spans="3:18" x14ac:dyDescent="0.35">
      <c r="C338" t="s">
        <v>44</v>
      </c>
      <c r="E338">
        <v>20</v>
      </c>
      <c r="F338">
        <v>6.65199995040894</v>
      </c>
      <c r="H338">
        <v>6.7392505601048498</v>
      </c>
      <c r="I338">
        <v>6.5647493407130204</v>
      </c>
      <c r="J338">
        <v>1.25278460979462</v>
      </c>
      <c r="K338">
        <v>1.28402495384216</v>
      </c>
      <c r="M338">
        <v>0.81947970390319802</v>
      </c>
      <c r="N338">
        <v>0.37689527869224498</v>
      </c>
      <c r="O338">
        <v>8.2287982106208801E-2</v>
      </c>
      <c r="P338">
        <v>0.32666242122650102</v>
      </c>
      <c r="Q338">
        <v>2.5095858573913601</v>
      </c>
      <c r="R338">
        <v>2017</v>
      </c>
    </row>
    <row r="339" spans="3:18" x14ac:dyDescent="0.35">
      <c r="C339" t="s">
        <v>36</v>
      </c>
      <c r="E339">
        <v>21</v>
      </c>
      <c r="F339">
        <v>6.6479997634887704</v>
      </c>
      <c r="H339">
        <v>6.7220473037660096</v>
      </c>
      <c r="I339">
        <v>6.5739522232115304</v>
      </c>
      <c r="J339">
        <v>1.62634336948395</v>
      </c>
      <c r="K339">
        <v>1.2664102315902701</v>
      </c>
      <c r="M339">
        <v>0.726798236370087</v>
      </c>
      <c r="N339">
        <v>0.60834527015686002</v>
      </c>
      <c r="O339">
        <v>0.32448956370353699</v>
      </c>
      <c r="P339">
        <v>0.36094194650650002</v>
      </c>
      <c r="Q339">
        <v>1.734703540802</v>
      </c>
      <c r="R339">
        <v>2017</v>
      </c>
    </row>
    <row r="340" spans="3:18" x14ac:dyDescent="0.35">
      <c r="C340" t="s">
        <v>32</v>
      </c>
      <c r="E340">
        <v>22</v>
      </c>
      <c r="F340">
        <v>6.6350002288818404</v>
      </c>
      <c r="H340">
        <v>6.7254695016145698</v>
      </c>
      <c r="I340">
        <v>6.5445309561491003</v>
      </c>
      <c r="J340">
        <v>1.1073532104492201</v>
      </c>
      <c r="K340">
        <v>1.4313060045242301</v>
      </c>
      <c r="M340">
        <v>0.61655235290527299</v>
      </c>
      <c r="N340">
        <v>0.43745374679565402</v>
      </c>
      <c r="O340">
        <v>0.111092761158943</v>
      </c>
      <c r="P340">
        <v>0.16234989464283001</v>
      </c>
      <c r="Q340">
        <v>2.7692670822143599</v>
      </c>
      <c r="R340">
        <v>2017</v>
      </c>
    </row>
    <row r="341" spans="3:18" x14ac:dyDescent="0.35">
      <c r="C341" t="s">
        <v>48</v>
      </c>
      <c r="E341">
        <v>23</v>
      </c>
      <c r="F341">
        <v>6.6090002059936497</v>
      </c>
      <c r="H341">
        <v>6.6838624626398104</v>
      </c>
      <c r="I341">
        <v>6.5341379493474996</v>
      </c>
      <c r="J341">
        <v>1.35268235206604</v>
      </c>
      <c r="K341">
        <v>1.4338852167129501</v>
      </c>
      <c r="M341">
        <v>0.75444400310516402</v>
      </c>
      <c r="N341">
        <v>0.49094617366790799</v>
      </c>
      <c r="O341">
        <v>3.6872927099466303E-2</v>
      </c>
      <c r="P341">
        <v>8.8106758892536205E-2</v>
      </c>
      <c r="Q341">
        <v>2.4518618583679199</v>
      </c>
      <c r="R341">
        <v>2017</v>
      </c>
    </row>
    <row r="342" spans="3:18" x14ac:dyDescent="0.35">
      <c r="C342" t="s">
        <v>47</v>
      </c>
      <c r="E342">
        <v>24</v>
      </c>
      <c r="F342">
        <v>6.59899997711182</v>
      </c>
      <c r="H342">
        <v>6.6900850860774499</v>
      </c>
      <c r="I342">
        <v>6.5079148681461803</v>
      </c>
      <c r="J342">
        <v>1.1852954626083401</v>
      </c>
      <c r="K342">
        <v>1.44045114517212</v>
      </c>
      <c r="M342">
        <v>0.69513708353042603</v>
      </c>
      <c r="N342">
        <v>0.494519203901291</v>
      </c>
      <c r="O342">
        <v>5.9739887714386E-2</v>
      </c>
      <c r="P342">
        <v>0.109457060694695</v>
      </c>
      <c r="Q342">
        <v>2.6140053272247301</v>
      </c>
      <c r="R342">
        <v>2017</v>
      </c>
    </row>
    <row r="343" spans="3:18" x14ac:dyDescent="0.35">
      <c r="C343" t="s">
        <v>30</v>
      </c>
      <c r="E343">
        <v>25</v>
      </c>
      <c r="F343">
        <v>6.5780000686645499</v>
      </c>
      <c r="H343">
        <v>6.67114890769124</v>
      </c>
      <c r="I343">
        <v>6.4848512296378598</v>
      </c>
      <c r="J343">
        <v>1.1531838178634599</v>
      </c>
      <c r="K343">
        <v>1.2108621597289999</v>
      </c>
      <c r="M343">
        <v>0.70997899770736705</v>
      </c>
      <c r="N343">
        <v>0.41273000836372398</v>
      </c>
      <c r="O343">
        <v>0.13277411460876501</v>
      </c>
      <c r="P343">
        <v>0.120990432798862</v>
      </c>
      <c r="Q343">
        <v>2.8371548652648899</v>
      </c>
      <c r="R343">
        <v>2017</v>
      </c>
    </row>
    <row r="344" spans="3:18" x14ac:dyDescent="0.35">
      <c r="C344" t="s">
        <v>40</v>
      </c>
      <c r="E344">
        <v>26</v>
      </c>
      <c r="F344">
        <v>6.57200002670288</v>
      </c>
      <c r="H344">
        <v>6.6367230691015697</v>
      </c>
      <c r="I344">
        <v>6.5072769843041902</v>
      </c>
      <c r="J344">
        <v>1.69227766990662</v>
      </c>
      <c r="K344">
        <v>1.35381436347961</v>
      </c>
      <c r="M344">
        <v>0.94949239492416404</v>
      </c>
      <c r="N344">
        <v>0.54984056949615501</v>
      </c>
      <c r="O344">
        <v>0.46430778503418002</v>
      </c>
      <c r="P344">
        <v>0.34596598148345897</v>
      </c>
      <c r="Q344">
        <v>1.2163619995117201</v>
      </c>
      <c r="R344">
        <v>2017</v>
      </c>
    </row>
    <row r="345" spans="3:18" x14ac:dyDescent="0.35">
      <c r="C345" t="s">
        <v>55</v>
      </c>
      <c r="E345">
        <v>27</v>
      </c>
      <c r="F345">
        <v>6.52699995040894</v>
      </c>
      <c r="H345">
        <v>6.59839677289128</v>
      </c>
      <c r="I345">
        <v>6.4556031279265902</v>
      </c>
      <c r="J345">
        <v>1.3432798385620099</v>
      </c>
      <c r="K345">
        <v>1.4884116649627701</v>
      </c>
      <c r="M345">
        <v>0.82194423675537098</v>
      </c>
      <c r="N345">
        <v>0.58876705169677701</v>
      </c>
      <c r="O345">
        <v>0.15306606888771099</v>
      </c>
      <c r="P345">
        <v>0.57473057508468595</v>
      </c>
      <c r="Q345">
        <v>1.55686283111572</v>
      </c>
      <c r="R345">
        <v>2017</v>
      </c>
    </row>
    <row r="346" spans="3:18" x14ac:dyDescent="0.35">
      <c r="C346" t="s">
        <v>50</v>
      </c>
      <c r="E346">
        <v>28</v>
      </c>
      <c r="F346">
        <v>6.4539999961853001</v>
      </c>
      <c r="H346">
        <v>6.5459062176942799</v>
      </c>
      <c r="I346">
        <v>6.3620937746763202</v>
      </c>
      <c r="J346">
        <v>1.2175596952438399</v>
      </c>
      <c r="K346">
        <v>1.4122278690338099</v>
      </c>
      <c r="M346">
        <v>0.71921682357788097</v>
      </c>
      <c r="N346">
        <v>0.57939225435257002</v>
      </c>
      <c r="O346">
        <v>0.178061872720718</v>
      </c>
      <c r="P346">
        <v>0.17509692907333399</v>
      </c>
      <c r="Q346">
        <v>2.1724095344543501</v>
      </c>
      <c r="R346">
        <v>2017</v>
      </c>
    </row>
    <row r="347" spans="3:18" x14ac:dyDescent="0.35">
      <c r="C347" t="s">
        <v>62</v>
      </c>
      <c r="E347">
        <v>29</v>
      </c>
      <c r="F347">
        <v>6.4539999961853001</v>
      </c>
      <c r="H347">
        <v>6.5668739727139496</v>
      </c>
      <c r="I347">
        <v>6.3411260196566603</v>
      </c>
      <c r="J347">
        <v>0.87200194597244296</v>
      </c>
      <c r="K347">
        <v>1.2555851936340301</v>
      </c>
      <c r="M347">
        <v>0.54023998975753795</v>
      </c>
      <c r="N347">
        <v>0.53131061792373702</v>
      </c>
      <c r="O347">
        <v>7.72232785820961E-2</v>
      </c>
      <c r="P347">
        <v>0.28348839282989502</v>
      </c>
      <c r="Q347">
        <v>2.8938910961151101</v>
      </c>
      <c r="R347">
        <v>2017</v>
      </c>
    </row>
    <row r="348" spans="3:18" x14ac:dyDescent="0.35">
      <c r="C348" t="s">
        <v>42</v>
      </c>
      <c r="E348">
        <v>30</v>
      </c>
      <c r="F348">
        <v>6.4520001411437997</v>
      </c>
      <c r="H348">
        <v>6.5571307161450401</v>
      </c>
      <c r="I348">
        <v>6.3468695661425603</v>
      </c>
      <c r="J348">
        <v>1.23374843597412</v>
      </c>
      <c r="K348">
        <v>1.3731925487518299</v>
      </c>
      <c r="M348">
        <v>0.70615613460540805</v>
      </c>
      <c r="N348">
        <v>0.55002683401107799</v>
      </c>
      <c r="O348">
        <v>7.0983923971652998E-2</v>
      </c>
      <c r="P348">
        <v>0.21055693924426999</v>
      </c>
      <c r="Q348">
        <v>2.30719995498657</v>
      </c>
      <c r="R348">
        <v>2017</v>
      </c>
    </row>
    <row r="349" spans="3:18" x14ac:dyDescent="0.35">
      <c r="C349" t="s">
        <v>46</v>
      </c>
      <c r="E349">
        <v>31</v>
      </c>
      <c r="F349">
        <v>6.4419999122619602</v>
      </c>
      <c r="H349">
        <v>6.5157678024470798</v>
      </c>
      <c r="I349">
        <v>6.3682320220768496</v>
      </c>
      <c r="J349">
        <v>1.4309234619140601</v>
      </c>
      <c r="K349">
        <v>1.3877768516540501</v>
      </c>
      <c r="M349">
        <v>0.844465851783752</v>
      </c>
      <c r="N349">
        <v>0.47022211551666299</v>
      </c>
      <c r="O349">
        <v>0.17250242829322801</v>
      </c>
      <c r="P349">
        <v>0.12976230680942499</v>
      </c>
      <c r="Q349">
        <v>2.0059547424316402</v>
      </c>
      <c r="R349">
        <v>2017</v>
      </c>
    </row>
    <row r="350" spans="3:18" x14ac:dyDescent="0.35">
      <c r="C350" t="s">
        <v>52</v>
      </c>
      <c r="E350">
        <v>32</v>
      </c>
      <c r="F350">
        <v>6.4239997863769496</v>
      </c>
      <c r="H350">
        <v>6.5091168557107402</v>
      </c>
      <c r="I350">
        <v>6.3388827170431599</v>
      </c>
      <c r="J350">
        <v>1.12786877155304</v>
      </c>
      <c r="K350">
        <v>1.42579245567322</v>
      </c>
      <c r="M350">
        <v>0.647239029407501</v>
      </c>
      <c r="N350">
        <v>0.58020073175430298</v>
      </c>
      <c r="O350">
        <v>3.16127352416515E-2</v>
      </c>
      <c r="P350">
        <v>0.57212311029434204</v>
      </c>
      <c r="Q350">
        <v>2.0395083427429199</v>
      </c>
      <c r="R350">
        <v>2017</v>
      </c>
    </row>
    <row r="351" spans="3:18" x14ac:dyDescent="0.35">
      <c r="C351" t="s">
        <v>221</v>
      </c>
      <c r="E351">
        <v>33</v>
      </c>
      <c r="F351">
        <v>6.4219999313354501</v>
      </c>
      <c r="H351">
        <v>6.4945960219204402</v>
      </c>
      <c r="I351">
        <v>6.34940384075046</v>
      </c>
      <c r="J351">
        <v>1.43362653255463</v>
      </c>
      <c r="K351">
        <v>1.38456535339355</v>
      </c>
      <c r="M351">
        <v>0.793984234333038</v>
      </c>
      <c r="N351">
        <v>0.36146658658981301</v>
      </c>
      <c r="O351">
        <v>6.3829235732555403E-2</v>
      </c>
      <c r="P351">
        <v>0.258360475301743</v>
      </c>
      <c r="Q351">
        <v>2.1266074180603001</v>
      </c>
      <c r="R351">
        <v>2017</v>
      </c>
    </row>
    <row r="352" spans="3:18" x14ac:dyDescent="0.35">
      <c r="C352" t="s">
        <v>54</v>
      </c>
      <c r="E352">
        <v>34</v>
      </c>
      <c r="F352">
        <v>6.4029998779296902</v>
      </c>
      <c r="H352">
        <v>6.4710548453032999</v>
      </c>
      <c r="I352">
        <v>6.3349449105560804</v>
      </c>
      <c r="J352">
        <v>1.3843978643417401</v>
      </c>
      <c r="K352">
        <v>1.5320909023284901</v>
      </c>
      <c r="M352">
        <v>0.88896059989929199</v>
      </c>
      <c r="N352">
        <v>0.40878123044967701</v>
      </c>
      <c r="O352">
        <v>7.0914097130298601E-2</v>
      </c>
      <c r="P352">
        <v>0.190133571624756</v>
      </c>
      <c r="Q352">
        <v>1.92775774002075</v>
      </c>
      <c r="R352">
        <v>2017</v>
      </c>
    </row>
    <row r="353" spans="3:18" x14ac:dyDescent="0.35">
      <c r="C353" t="s">
        <v>45</v>
      </c>
      <c r="E353">
        <v>35</v>
      </c>
      <c r="F353">
        <v>6.375</v>
      </c>
      <c r="H353">
        <v>6.5684768143296202</v>
      </c>
      <c r="I353">
        <v>6.1815231856703798</v>
      </c>
      <c r="J353">
        <v>1.87076568603516</v>
      </c>
      <c r="K353">
        <v>1.27429687976837</v>
      </c>
      <c r="M353">
        <v>0.71009808778762795</v>
      </c>
      <c r="N353">
        <v>0.60413098335266102</v>
      </c>
      <c r="O353">
        <v>0.439299255609512</v>
      </c>
      <c r="P353">
        <v>0.33047387003898598</v>
      </c>
      <c r="Q353">
        <v>1.1454644203186</v>
      </c>
      <c r="R353">
        <v>2017</v>
      </c>
    </row>
    <row r="354" spans="3:18" x14ac:dyDescent="0.35">
      <c r="C354" t="s">
        <v>51</v>
      </c>
      <c r="E354">
        <v>36</v>
      </c>
      <c r="F354">
        <v>6.3569998741149902</v>
      </c>
      <c r="H354">
        <v>6.45202005416155</v>
      </c>
      <c r="I354">
        <v>6.2619796940684296</v>
      </c>
      <c r="J354">
        <v>1.07062232494354</v>
      </c>
      <c r="K354">
        <v>1.4021829366684</v>
      </c>
      <c r="M354">
        <v>0.59502792358398404</v>
      </c>
      <c r="N354">
        <v>0.47748741507530201</v>
      </c>
      <c r="O354">
        <v>4.6668741852045101E-2</v>
      </c>
      <c r="P354">
        <v>0.149014472961426</v>
      </c>
      <c r="Q354">
        <v>2.6160681247711199</v>
      </c>
      <c r="R354">
        <v>2017</v>
      </c>
    </row>
    <row r="355" spans="3:18" x14ac:dyDescent="0.35">
      <c r="C355" t="s">
        <v>53</v>
      </c>
      <c r="E355">
        <v>37</v>
      </c>
      <c r="F355">
        <v>6.3439998626709002</v>
      </c>
      <c r="H355">
        <v>6.4441666120290799</v>
      </c>
      <c r="I355">
        <v>6.2438331133127196</v>
      </c>
      <c r="J355">
        <v>1.53062355518341</v>
      </c>
      <c r="K355">
        <v>1.28667759895325</v>
      </c>
      <c r="M355">
        <v>0.59014832973480202</v>
      </c>
      <c r="N355">
        <v>0.44975057244300798</v>
      </c>
      <c r="O355">
        <v>0.27343225479125999</v>
      </c>
      <c r="P355">
        <v>0.14761601388454401</v>
      </c>
      <c r="Q355">
        <v>2.0654296875</v>
      </c>
      <c r="R355">
        <v>2017</v>
      </c>
    </row>
    <row r="356" spans="3:18" x14ac:dyDescent="0.35">
      <c r="C356" t="s">
        <v>60</v>
      </c>
      <c r="E356">
        <v>38</v>
      </c>
      <c r="F356">
        <v>6.1680002212524396</v>
      </c>
      <c r="H356">
        <v>6.3815338906645804</v>
      </c>
      <c r="I356">
        <v>5.9544665518403104</v>
      </c>
      <c r="J356">
        <v>1.36135590076447</v>
      </c>
      <c r="K356">
        <v>1.3802285194396999</v>
      </c>
      <c r="M356">
        <v>0.51998329162597701</v>
      </c>
      <c r="N356">
        <v>0.51863074302673295</v>
      </c>
      <c r="O356">
        <v>8.9648161083459906E-3</v>
      </c>
      <c r="P356">
        <v>0.325296461582184</v>
      </c>
      <c r="Q356">
        <v>2.0532474517822301</v>
      </c>
      <c r="R356">
        <v>2017</v>
      </c>
    </row>
    <row r="357" spans="3:18" x14ac:dyDescent="0.35">
      <c r="C357" t="s">
        <v>58</v>
      </c>
      <c r="E357">
        <v>39</v>
      </c>
      <c r="F357">
        <v>6.1050000190734899</v>
      </c>
      <c r="H357">
        <v>6.1919569888710999</v>
      </c>
      <c r="I357">
        <v>6.0180430492758799</v>
      </c>
      <c r="J357">
        <v>1.63295245170593</v>
      </c>
      <c r="K357">
        <v>1.25969874858856</v>
      </c>
      <c r="M357">
        <v>0.63210570812225297</v>
      </c>
      <c r="N357">
        <v>0.49633759260177601</v>
      </c>
      <c r="O357">
        <v>0.21515955030918099</v>
      </c>
      <c r="P357">
        <v>0.22828979790210699</v>
      </c>
      <c r="Q357">
        <v>1.64042520523071</v>
      </c>
      <c r="R357">
        <v>2017</v>
      </c>
    </row>
    <row r="358" spans="3:18" x14ac:dyDescent="0.35">
      <c r="C358" t="s">
        <v>64</v>
      </c>
      <c r="E358">
        <v>40</v>
      </c>
      <c r="F358">
        <v>6.09800004959106</v>
      </c>
      <c r="H358">
        <v>6.1773484121262996</v>
      </c>
      <c r="I358">
        <v>6.0186516870558302</v>
      </c>
      <c r="J358">
        <v>1.3253935575485201</v>
      </c>
      <c r="K358">
        <v>1.50505924224854</v>
      </c>
      <c r="M358">
        <v>0.71273291110992398</v>
      </c>
      <c r="N358">
        <v>0.29581746459007302</v>
      </c>
      <c r="O358">
        <v>2.4210851639509201E-2</v>
      </c>
      <c r="P358">
        <v>0.13654448091983801</v>
      </c>
      <c r="Q358">
        <v>2.0977766513824498</v>
      </c>
      <c r="R358">
        <v>2017</v>
      </c>
    </row>
    <row r="359" spans="3:18" x14ac:dyDescent="0.35">
      <c r="C359" t="s">
        <v>68</v>
      </c>
      <c r="E359">
        <v>41</v>
      </c>
      <c r="F359">
        <v>6.0869998931884801</v>
      </c>
      <c r="H359">
        <v>6.1789890678226902</v>
      </c>
      <c r="I359">
        <v>5.9950107185542603</v>
      </c>
      <c r="J359">
        <v>1.4884122610092201</v>
      </c>
      <c r="K359">
        <v>1.3231104612350499</v>
      </c>
      <c r="M359">
        <v>0.65313303470611594</v>
      </c>
      <c r="N359">
        <v>0.53674691915512096</v>
      </c>
      <c r="O359">
        <v>0.25704216957092302</v>
      </c>
      <c r="P359">
        <v>0.172668486833572</v>
      </c>
      <c r="Q359">
        <v>1.65614938735962</v>
      </c>
      <c r="R359">
        <v>2017</v>
      </c>
    </row>
    <row r="360" spans="3:18" x14ac:dyDescent="0.35">
      <c r="C360" t="s">
        <v>80</v>
      </c>
      <c r="E360">
        <v>42</v>
      </c>
      <c r="F360">
        <v>6.0840001106262198</v>
      </c>
      <c r="H360">
        <v>6.1799796365201498</v>
      </c>
      <c r="I360">
        <v>5.9880205847322898</v>
      </c>
      <c r="J360">
        <v>1.29121541976929</v>
      </c>
      <c r="K360">
        <v>1.28464603424072</v>
      </c>
      <c r="M360">
        <v>0.61878442764282204</v>
      </c>
      <c r="N360">
        <v>0.40226498246192899</v>
      </c>
      <c r="O360">
        <v>6.5600708127021803E-2</v>
      </c>
      <c r="P360">
        <v>0.41660892963409402</v>
      </c>
      <c r="Q360">
        <v>2.00444889068604</v>
      </c>
      <c r="R360">
        <v>2017</v>
      </c>
    </row>
    <row r="361" spans="3:18" x14ac:dyDescent="0.35">
      <c r="C361" t="s">
        <v>76</v>
      </c>
      <c r="E361">
        <v>43</v>
      </c>
      <c r="F361">
        <v>6.0710000991821298</v>
      </c>
      <c r="H361">
        <v>6.1865836003422698</v>
      </c>
      <c r="I361">
        <v>5.95541659802198</v>
      </c>
      <c r="J361">
        <v>0.737299203872681</v>
      </c>
      <c r="K361">
        <v>1.28721570968628</v>
      </c>
      <c r="M361">
        <v>0.65309596061706499</v>
      </c>
      <c r="N361">
        <v>0.44755184650421098</v>
      </c>
      <c r="O361">
        <v>0.130687981843948</v>
      </c>
      <c r="P361">
        <v>0.30167421698570301</v>
      </c>
      <c r="Q361">
        <v>2.5139305591583301</v>
      </c>
      <c r="R361">
        <v>2017</v>
      </c>
    </row>
    <row r="362" spans="3:18" x14ac:dyDescent="0.35">
      <c r="C362" t="s">
        <v>67</v>
      </c>
      <c r="E362">
        <v>44</v>
      </c>
      <c r="F362">
        <v>6.0079998970031703</v>
      </c>
      <c r="H362">
        <v>6.1058476753532904</v>
      </c>
      <c r="I362">
        <v>5.9101521186530599</v>
      </c>
      <c r="J362">
        <v>1.00082039833069</v>
      </c>
      <c r="K362">
        <v>1.2861688137054399</v>
      </c>
      <c r="M362">
        <v>0.68563622236251798</v>
      </c>
      <c r="N362">
        <v>0.45519819855690002</v>
      </c>
      <c r="O362">
        <v>0.140134647488594</v>
      </c>
      <c r="P362">
        <v>0.150112465023994</v>
      </c>
      <c r="Q362">
        <v>2.2903525829315199</v>
      </c>
      <c r="R362">
        <v>2017</v>
      </c>
    </row>
    <row r="363" spans="3:18" x14ac:dyDescent="0.35">
      <c r="C363" t="s">
        <v>61</v>
      </c>
      <c r="E363">
        <v>45</v>
      </c>
      <c r="F363">
        <v>6.0029997825622603</v>
      </c>
      <c r="H363">
        <v>6.1086351223289999</v>
      </c>
      <c r="I363">
        <v>5.8973644427955199</v>
      </c>
      <c r="J363">
        <v>0.909784495830536</v>
      </c>
      <c r="K363">
        <v>1.1821250915527299</v>
      </c>
      <c r="M363">
        <v>0.59601855278015103</v>
      </c>
      <c r="N363">
        <v>0.43245252966880798</v>
      </c>
      <c r="O363">
        <v>8.9980959892272894E-2</v>
      </c>
      <c r="P363">
        <v>7.8257985413074493E-2</v>
      </c>
      <c r="Q363">
        <v>2.7145938873290998</v>
      </c>
      <c r="R363">
        <v>2017</v>
      </c>
    </row>
    <row r="364" spans="3:18" x14ac:dyDescent="0.35">
      <c r="C364" t="s">
        <v>79</v>
      </c>
      <c r="E364">
        <v>46</v>
      </c>
      <c r="F364">
        <v>5.97300004959106</v>
      </c>
      <c r="H364">
        <v>6.0539083412289596</v>
      </c>
      <c r="I364">
        <v>5.8920917579531702</v>
      </c>
      <c r="J364">
        <v>1.29178786277771</v>
      </c>
      <c r="K364">
        <v>1.44571197032928</v>
      </c>
      <c r="M364">
        <v>0.69947534799575795</v>
      </c>
      <c r="N364">
        <v>0.52034211158752397</v>
      </c>
      <c r="O364">
        <v>5.9307806193828597E-2</v>
      </c>
      <c r="P364">
        <v>0.158465966582298</v>
      </c>
      <c r="Q364">
        <v>1.79772281646729</v>
      </c>
      <c r="R364">
        <v>2017</v>
      </c>
    </row>
    <row r="365" spans="3:18" x14ac:dyDescent="0.35">
      <c r="C365" t="s">
        <v>63</v>
      </c>
      <c r="E365">
        <v>47</v>
      </c>
      <c r="F365">
        <v>5.9710001945495597</v>
      </c>
      <c r="H365">
        <v>6.0655375729501202</v>
      </c>
      <c r="I365">
        <v>5.876462816149</v>
      </c>
      <c r="J365">
        <v>0.78644108772277799</v>
      </c>
      <c r="K365">
        <v>1.5489691495895399</v>
      </c>
      <c r="M365">
        <v>0.49827262759208701</v>
      </c>
      <c r="N365">
        <v>0.65824866294860795</v>
      </c>
      <c r="O365">
        <v>0.24652822315692899</v>
      </c>
      <c r="P365">
        <v>0.415983647108078</v>
      </c>
      <c r="Q365">
        <v>1.8169136047363299</v>
      </c>
      <c r="R365">
        <v>2017</v>
      </c>
    </row>
    <row r="366" spans="3:18" x14ac:dyDescent="0.35">
      <c r="C366" t="s">
        <v>69</v>
      </c>
      <c r="E366">
        <v>48</v>
      </c>
      <c r="F366">
        <v>5.9640002250671396</v>
      </c>
      <c r="H366">
        <v>6.0427369059622302</v>
      </c>
      <c r="I366">
        <v>5.8852635441720498</v>
      </c>
      <c r="J366">
        <v>1.3950666189193699</v>
      </c>
      <c r="K366">
        <v>1.44492328166962</v>
      </c>
      <c r="M366">
        <v>0.85314434766769398</v>
      </c>
      <c r="N366">
        <v>0.25645071268081698</v>
      </c>
      <c r="O366">
        <v>2.8028091415762901E-2</v>
      </c>
      <c r="P366">
        <v>0.17278964817524001</v>
      </c>
      <c r="Q366">
        <v>1.8133120536804199</v>
      </c>
      <c r="R366">
        <v>2017</v>
      </c>
    </row>
    <row r="367" spans="3:18" x14ac:dyDescent="0.35">
      <c r="C367" t="s">
        <v>83</v>
      </c>
      <c r="E367">
        <v>49</v>
      </c>
      <c r="F367">
        <v>5.9629998207092303</v>
      </c>
      <c r="H367">
        <v>6.0302749074995496</v>
      </c>
      <c r="I367">
        <v>5.8957247339189101</v>
      </c>
      <c r="J367">
        <v>1.28177809715271</v>
      </c>
      <c r="K367">
        <v>1.46928238868713</v>
      </c>
      <c r="M367">
        <v>0.547349333763123</v>
      </c>
      <c r="N367">
        <v>0.37378311157226601</v>
      </c>
      <c r="O367">
        <v>3.2962881028652198E-2</v>
      </c>
      <c r="P367">
        <v>5.2263822406530401E-2</v>
      </c>
      <c r="Q367">
        <v>2.2056074142456099</v>
      </c>
      <c r="R367">
        <v>2017</v>
      </c>
    </row>
    <row r="368" spans="3:18" x14ac:dyDescent="0.35">
      <c r="C368" t="s">
        <v>208</v>
      </c>
      <c r="E368">
        <v>50</v>
      </c>
      <c r="F368">
        <v>5.9559998512268102</v>
      </c>
      <c r="H368">
        <v>6.1972423177957499</v>
      </c>
      <c r="I368">
        <v>5.7147573846578599</v>
      </c>
      <c r="J368">
        <v>0.90797531604766801</v>
      </c>
      <c r="K368">
        <v>1.0814177989959699</v>
      </c>
      <c r="M368">
        <v>0.45019176602363598</v>
      </c>
      <c r="N368">
        <v>0.54750937223434404</v>
      </c>
      <c r="O368">
        <v>9.6581071615219102E-2</v>
      </c>
      <c r="P368">
        <v>0.24001564085483601</v>
      </c>
      <c r="Q368">
        <v>2.6319556236267099</v>
      </c>
      <c r="R368">
        <v>2017</v>
      </c>
    </row>
    <row r="369" spans="3:18" x14ac:dyDescent="0.35">
      <c r="C369" t="s">
        <v>65</v>
      </c>
      <c r="E369">
        <v>51</v>
      </c>
      <c r="F369">
        <v>5.9200000762939498</v>
      </c>
      <c r="H369">
        <v>5.9907194446027301</v>
      </c>
      <c r="I369">
        <v>5.8492807079851596</v>
      </c>
      <c r="J369">
        <v>1.41691517829895</v>
      </c>
      <c r="K369">
        <v>1.4363378286361701</v>
      </c>
      <c r="M369">
        <v>0.91347587108612105</v>
      </c>
      <c r="N369">
        <v>0.50562554597854603</v>
      </c>
      <c r="O369">
        <v>0.163760736584663</v>
      </c>
      <c r="P369">
        <v>0.12057276815176</v>
      </c>
      <c r="Q369">
        <v>1.3632235527038601</v>
      </c>
      <c r="R369">
        <v>2017</v>
      </c>
    </row>
    <row r="370" spans="3:18" x14ac:dyDescent="0.35">
      <c r="C370" t="s">
        <v>75</v>
      </c>
      <c r="E370">
        <v>52</v>
      </c>
      <c r="F370">
        <v>5.90199995040894</v>
      </c>
      <c r="H370">
        <v>5.9826696413755398</v>
      </c>
      <c r="I370">
        <v>5.8213302594423304</v>
      </c>
      <c r="J370">
        <v>1.3145823478698699</v>
      </c>
      <c r="K370">
        <v>1.47351610660553</v>
      </c>
      <c r="M370">
        <v>0.62894994020462003</v>
      </c>
      <c r="N370">
        <v>0.23423178493976601</v>
      </c>
      <c r="O370">
        <v>1.18656428530812E-2</v>
      </c>
      <c r="P370">
        <v>1.0164656676352E-2</v>
      </c>
      <c r="Q370">
        <v>2.2284405231475799</v>
      </c>
      <c r="R370">
        <v>2017</v>
      </c>
    </row>
    <row r="371" spans="3:18" x14ac:dyDescent="0.35">
      <c r="C371" t="s">
        <v>87</v>
      </c>
      <c r="E371">
        <v>53</v>
      </c>
      <c r="F371">
        <v>5.8720002174377397</v>
      </c>
      <c r="H371">
        <v>5.9782864336669403</v>
      </c>
      <c r="I371">
        <v>5.7657140012085399</v>
      </c>
      <c r="J371">
        <v>1.09186446666718</v>
      </c>
      <c r="K371">
        <v>1.1462174654007</v>
      </c>
      <c r="M371">
        <v>0.61758464574813798</v>
      </c>
      <c r="N371">
        <v>0.23333580791950201</v>
      </c>
      <c r="O371">
        <v>0.14609611034393299</v>
      </c>
      <c r="P371">
        <v>6.9436646997928606E-2</v>
      </c>
      <c r="Q371">
        <v>2.5676038265228298</v>
      </c>
      <c r="R371">
        <v>2017</v>
      </c>
    </row>
    <row r="372" spans="3:18" x14ac:dyDescent="0.35">
      <c r="C372" t="s">
        <v>110</v>
      </c>
      <c r="E372">
        <v>54</v>
      </c>
      <c r="F372">
        <v>5.8499999046325701</v>
      </c>
      <c r="H372">
        <v>5.9202635382115796</v>
      </c>
      <c r="I372">
        <v>5.77973627105355</v>
      </c>
      <c r="J372">
        <v>1.26074862480164</v>
      </c>
      <c r="K372">
        <v>1.4047149419784499</v>
      </c>
      <c r="M372">
        <v>0.63856697082519498</v>
      </c>
      <c r="N372">
        <v>0.32570791244506803</v>
      </c>
      <c r="O372">
        <v>7.3842726647853907E-2</v>
      </c>
      <c r="P372">
        <v>0.153074786067009</v>
      </c>
      <c r="Q372">
        <v>1.9936552047729501</v>
      </c>
      <c r="R372">
        <v>2017</v>
      </c>
    </row>
    <row r="373" spans="3:18" x14ac:dyDescent="0.35">
      <c r="C373" t="s">
        <v>66</v>
      </c>
      <c r="E373">
        <v>55</v>
      </c>
      <c r="F373">
        <v>5.8379998207092303</v>
      </c>
      <c r="H373">
        <v>5.9225590282678597</v>
      </c>
      <c r="I373">
        <v>5.7534406131506</v>
      </c>
      <c r="J373">
        <v>1.40167844295502</v>
      </c>
      <c r="K373">
        <v>1.12827444076538</v>
      </c>
      <c r="M373">
        <v>0.90021407604217496</v>
      </c>
      <c r="N373">
        <v>0.25792166590690602</v>
      </c>
      <c r="O373">
        <v>6.3282668590545696E-2</v>
      </c>
      <c r="P373">
        <v>0.20667436718940699</v>
      </c>
      <c r="Q373">
        <v>1.8803780078887899</v>
      </c>
      <c r="R373">
        <v>2017</v>
      </c>
    </row>
    <row r="374" spans="3:18" x14ac:dyDescent="0.35">
      <c r="C374" t="s">
        <v>71</v>
      </c>
      <c r="E374">
        <v>56</v>
      </c>
      <c r="F374">
        <v>5.8379998207092303</v>
      </c>
      <c r="H374">
        <v>5.90837083846331</v>
      </c>
      <c r="I374">
        <v>5.7676288029551497</v>
      </c>
      <c r="J374">
        <v>0.728870630264282</v>
      </c>
      <c r="K374">
        <v>1.25182557106018</v>
      </c>
      <c r="M374">
        <v>0.58946520090103105</v>
      </c>
      <c r="N374">
        <v>0.24072904884815199</v>
      </c>
      <c r="O374">
        <v>1.00912861526012E-2</v>
      </c>
      <c r="P374">
        <v>0.208779126405716</v>
      </c>
      <c r="Q374">
        <v>2.8078083992004399</v>
      </c>
      <c r="R374">
        <v>2017</v>
      </c>
    </row>
    <row r="375" spans="3:18" x14ac:dyDescent="0.35">
      <c r="C375" t="s">
        <v>107</v>
      </c>
      <c r="E375">
        <v>57</v>
      </c>
      <c r="F375">
        <v>5.8249998092651403</v>
      </c>
      <c r="H375">
        <v>5.9196941567957397</v>
      </c>
      <c r="I375">
        <v>5.7303054617345301</v>
      </c>
      <c r="J375">
        <v>1.21768391132355</v>
      </c>
      <c r="K375">
        <v>1.15009129047394</v>
      </c>
      <c r="M375">
        <v>0.68515831232070901</v>
      </c>
      <c r="N375">
        <v>0.45700374245643599</v>
      </c>
      <c r="O375">
        <v>4.3879006989300303E-3</v>
      </c>
      <c r="P375">
        <v>0.133519917726517</v>
      </c>
      <c r="Q375">
        <v>2.1768314838409402</v>
      </c>
      <c r="R375">
        <v>2017</v>
      </c>
    </row>
    <row r="376" spans="3:18" x14ac:dyDescent="0.35">
      <c r="C376" t="s">
        <v>70</v>
      </c>
      <c r="E376">
        <v>58</v>
      </c>
      <c r="F376">
        <v>5.8229999542236301</v>
      </c>
      <c r="H376">
        <v>5.9039769025147004</v>
      </c>
      <c r="I376">
        <v>5.7420230059325696</v>
      </c>
      <c r="J376">
        <v>0.83375656604766801</v>
      </c>
      <c r="K376">
        <v>1.2276190519332899</v>
      </c>
      <c r="M376">
        <v>0.47363024950027499</v>
      </c>
      <c r="N376">
        <v>0.55873292684555098</v>
      </c>
      <c r="O376">
        <v>6.0477726161479901E-2</v>
      </c>
      <c r="P376">
        <v>0.22556072473526001</v>
      </c>
      <c r="Q376">
        <v>2.4432790279388401</v>
      </c>
      <c r="R376">
        <v>2017</v>
      </c>
    </row>
    <row r="377" spans="3:18" x14ac:dyDescent="0.35">
      <c r="C377" t="s">
        <v>89</v>
      </c>
      <c r="E377">
        <v>59</v>
      </c>
      <c r="F377">
        <v>5.82200002670288</v>
      </c>
      <c r="H377">
        <v>5.8851808755099801</v>
      </c>
      <c r="I377">
        <v>5.7588191778957798</v>
      </c>
      <c r="J377">
        <v>1.13077676296234</v>
      </c>
      <c r="K377">
        <v>1.4931491613388099</v>
      </c>
      <c r="M377">
        <v>0.437726080417633</v>
      </c>
      <c r="N377">
        <v>0.41827192902565002</v>
      </c>
      <c r="O377">
        <v>0.259270340204239</v>
      </c>
      <c r="P377">
        <v>0.24992498755455</v>
      </c>
      <c r="Q377">
        <v>1.8329098224639899</v>
      </c>
      <c r="R377">
        <v>2017</v>
      </c>
    </row>
    <row r="378" spans="3:18" x14ac:dyDescent="0.35">
      <c r="C378" t="s">
        <v>73</v>
      </c>
      <c r="E378">
        <v>60</v>
      </c>
      <c r="F378">
        <v>5.8189997673034703</v>
      </c>
      <c r="H378">
        <v>5.9036417746543899</v>
      </c>
      <c r="I378">
        <v>5.7343577599525499</v>
      </c>
      <c r="J378">
        <v>1.28455626964569</v>
      </c>
      <c r="K378">
        <v>1.3843690156936601</v>
      </c>
      <c r="M378">
        <v>0.60604155063629195</v>
      </c>
      <c r="N378">
        <v>0.437454283237457</v>
      </c>
      <c r="O378">
        <v>0.119282886385918</v>
      </c>
      <c r="P378">
        <v>0.20196442306041701</v>
      </c>
      <c r="Q378">
        <v>1.7848925590515099</v>
      </c>
      <c r="R378">
        <v>2017</v>
      </c>
    </row>
    <row r="379" spans="3:18" x14ac:dyDescent="0.35">
      <c r="C379" t="s">
        <v>85</v>
      </c>
      <c r="E379">
        <v>61</v>
      </c>
      <c r="F379">
        <v>5.8099999427795401</v>
      </c>
      <c r="H379">
        <v>5.8973664648830901</v>
      </c>
      <c r="I379">
        <v>5.7226334206759901</v>
      </c>
      <c r="J379">
        <v>1.3469113111496001</v>
      </c>
      <c r="K379">
        <v>1.1863033771514899</v>
      </c>
      <c r="M379">
        <v>0.83464723825454701</v>
      </c>
      <c r="N379">
        <v>0.47120362520217901</v>
      </c>
      <c r="O379">
        <v>0.15535335242748299</v>
      </c>
      <c r="P379">
        <v>0.266845703125</v>
      </c>
      <c r="Q379">
        <v>1.5491576194763199</v>
      </c>
      <c r="R379">
        <v>2017</v>
      </c>
    </row>
    <row r="380" spans="3:18" x14ac:dyDescent="0.35">
      <c r="C380" t="s">
        <v>74</v>
      </c>
      <c r="E380">
        <v>62</v>
      </c>
      <c r="F380">
        <v>5.7579998970031703</v>
      </c>
      <c r="H380">
        <v>5.8422251600027097</v>
      </c>
      <c r="I380">
        <v>5.6737746340036397</v>
      </c>
      <c r="J380">
        <v>1.3412059545517001</v>
      </c>
      <c r="K380">
        <v>1.4525188207626301</v>
      </c>
      <c r="M380">
        <v>0.79082822799682595</v>
      </c>
      <c r="N380">
        <v>0.57257580757141102</v>
      </c>
      <c r="O380">
        <v>4.5128978788852699E-2</v>
      </c>
      <c r="P380">
        <v>0.24264909327030201</v>
      </c>
      <c r="Q380">
        <v>1.3133172988891599</v>
      </c>
      <c r="R380">
        <v>2017</v>
      </c>
    </row>
    <row r="381" spans="3:18" x14ac:dyDescent="0.35">
      <c r="C381" t="s">
        <v>77</v>
      </c>
      <c r="E381">
        <v>63</v>
      </c>
      <c r="F381">
        <v>5.7150001525878897</v>
      </c>
      <c r="H381">
        <v>5.8119467785954502</v>
      </c>
      <c r="I381">
        <v>5.6180535265803302</v>
      </c>
      <c r="J381">
        <v>1.0352252721786499</v>
      </c>
      <c r="K381">
        <v>1.2187703847885101</v>
      </c>
      <c r="M381">
        <v>0.63016611337661699</v>
      </c>
      <c r="N381">
        <v>0.45000287890434298</v>
      </c>
      <c r="O381">
        <v>4.7049086540937403E-2</v>
      </c>
      <c r="P381">
        <v>0.12681971490383101</v>
      </c>
      <c r="Q381">
        <v>2.2072694301605198</v>
      </c>
      <c r="R381">
        <v>2017</v>
      </c>
    </row>
    <row r="382" spans="3:18" x14ac:dyDescent="0.35">
      <c r="C382" t="s">
        <v>90</v>
      </c>
      <c r="E382">
        <v>64</v>
      </c>
      <c r="F382">
        <v>5.6290001869201696</v>
      </c>
      <c r="H382">
        <v>5.72986219167709</v>
      </c>
      <c r="I382">
        <v>5.5281381821632403</v>
      </c>
      <c r="J382">
        <v>1.1893955469131501</v>
      </c>
      <c r="K382">
        <v>1.20956099033356</v>
      </c>
      <c r="M382">
        <v>0.63800746202468905</v>
      </c>
      <c r="N382">
        <v>0.49124732613563499</v>
      </c>
      <c r="O382">
        <v>4.2181555181741701E-2</v>
      </c>
      <c r="P382">
        <v>0.36093375086784402</v>
      </c>
      <c r="Q382">
        <v>1.6975839138030999</v>
      </c>
      <c r="R382">
        <v>2017</v>
      </c>
    </row>
    <row r="383" spans="3:18" x14ac:dyDescent="0.35">
      <c r="C383" t="s">
        <v>86</v>
      </c>
      <c r="E383">
        <v>65</v>
      </c>
      <c r="F383">
        <v>5.6209998130798304</v>
      </c>
      <c r="H383">
        <v>5.7146926993131597</v>
      </c>
      <c r="I383">
        <v>5.5273069268465003</v>
      </c>
      <c r="J383">
        <v>1.3559380769729601</v>
      </c>
      <c r="K383">
        <v>1.13136327266693</v>
      </c>
      <c r="M383">
        <v>0.84471470117569003</v>
      </c>
      <c r="N383">
        <v>0.35511153936386097</v>
      </c>
      <c r="O383">
        <v>4.1237976402044303E-2</v>
      </c>
      <c r="P383">
        <v>0.27125430107116699</v>
      </c>
      <c r="Q383">
        <v>1.62124919891357</v>
      </c>
      <c r="R383">
        <v>2017</v>
      </c>
    </row>
    <row r="384" spans="3:18" x14ac:dyDescent="0.35">
      <c r="C384" t="s">
        <v>93</v>
      </c>
      <c r="E384">
        <v>66</v>
      </c>
      <c r="F384">
        <v>5.6110000610351598</v>
      </c>
      <c r="H384">
        <v>5.6881398741900897</v>
      </c>
      <c r="I384">
        <v>5.5338602478802201</v>
      </c>
      <c r="J384">
        <v>1.32087934017181</v>
      </c>
      <c r="K384">
        <v>1.4766710996627801</v>
      </c>
      <c r="M384">
        <v>0.695168316364288</v>
      </c>
      <c r="N384">
        <v>0.479131430387497</v>
      </c>
      <c r="O384">
        <v>0.183248922228813</v>
      </c>
      <c r="P384">
        <v>9.8890811204910306E-2</v>
      </c>
      <c r="Q384">
        <v>1.3575086593627901</v>
      </c>
      <c r="R384">
        <v>2017</v>
      </c>
    </row>
    <row r="385" spans="3:18" x14ac:dyDescent="0.35">
      <c r="C385" t="s">
        <v>78</v>
      </c>
      <c r="E385">
        <v>67</v>
      </c>
      <c r="F385">
        <v>5.5689997673034703</v>
      </c>
      <c r="H385">
        <v>5.6461142440140204</v>
      </c>
      <c r="I385">
        <v>5.4918852905929096</v>
      </c>
      <c r="J385">
        <v>1.1565575599670399</v>
      </c>
      <c r="K385">
        <v>1.44494521617889</v>
      </c>
      <c r="M385">
        <v>0.63771426677703902</v>
      </c>
      <c r="N385">
        <v>0.29540026187896701</v>
      </c>
      <c r="O385">
        <v>0.156313821673393</v>
      </c>
      <c r="P385">
        <v>0.15513750910759</v>
      </c>
      <c r="Q385">
        <v>1.72323298454285</v>
      </c>
      <c r="R385">
        <v>2017</v>
      </c>
    </row>
    <row r="386" spans="3:18" x14ac:dyDescent="0.35">
      <c r="C386" t="s">
        <v>82</v>
      </c>
      <c r="E386">
        <v>68</v>
      </c>
      <c r="F386">
        <v>5.5250000953674299</v>
      </c>
      <c r="H386">
        <v>5.6769538068771404</v>
      </c>
      <c r="I386">
        <v>5.37304638385773</v>
      </c>
      <c r="J386">
        <v>1.1018030643463099</v>
      </c>
      <c r="K386">
        <v>1.3575643301010101</v>
      </c>
      <c r="M386">
        <v>0.52016901969909701</v>
      </c>
      <c r="N386">
        <v>0.46573323011398299</v>
      </c>
      <c r="O386">
        <v>9.2610210180282607E-2</v>
      </c>
      <c r="P386">
        <v>0.15207366645336201</v>
      </c>
      <c r="Q386">
        <v>1.83501124382019</v>
      </c>
      <c r="R386">
        <v>2017</v>
      </c>
    </row>
    <row r="387" spans="3:18" x14ac:dyDescent="0.35">
      <c r="C387" t="s">
        <v>96</v>
      </c>
      <c r="E387">
        <v>69</v>
      </c>
      <c r="F387">
        <v>5.5</v>
      </c>
      <c r="H387">
        <v>5.5948649632930803</v>
      </c>
      <c r="I387">
        <v>5.4051350367069197</v>
      </c>
      <c r="J387">
        <v>1.19827437400818</v>
      </c>
      <c r="K387">
        <v>1.3377531766891499</v>
      </c>
      <c r="M387">
        <v>0.63760560750961304</v>
      </c>
      <c r="N387">
        <v>0.30074059963226302</v>
      </c>
      <c r="O387">
        <v>9.9671579897403703E-2</v>
      </c>
      <c r="P387">
        <v>4.6693041920661899E-2</v>
      </c>
      <c r="Q387">
        <v>1.87927794456482</v>
      </c>
      <c r="R387">
        <v>2017</v>
      </c>
    </row>
    <row r="388" spans="3:18" x14ac:dyDescent="0.35">
      <c r="C388" t="s">
        <v>72</v>
      </c>
      <c r="E388">
        <v>70</v>
      </c>
      <c r="F388">
        <v>5.4930000305175799</v>
      </c>
      <c r="H388">
        <v>5.5773812696337703</v>
      </c>
      <c r="I388">
        <v>5.4086187914013903</v>
      </c>
      <c r="J388">
        <v>0.93253731727600098</v>
      </c>
      <c r="K388">
        <v>1.50728487968445</v>
      </c>
      <c r="M388">
        <v>0.57925069332122803</v>
      </c>
      <c r="N388">
        <v>0.47350779175758401</v>
      </c>
      <c r="O388">
        <v>9.1065913438796997E-2</v>
      </c>
      <c r="P388">
        <v>0.22415065765380901</v>
      </c>
      <c r="Q388">
        <v>1.6853334903717001</v>
      </c>
      <c r="R388">
        <v>2017</v>
      </c>
    </row>
    <row r="389" spans="3:18" x14ac:dyDescent="0.35">
      <c r="C389" t="s">
        <v>222</v>
      </c>
      <c r="E389">
        <v>71</v>
      </c>
      <c r="F389">
        <v>5.4720001220703098</v>
      </c>
      <c r="H389">
        <v>5.5495941731333698</v>
      </c>
      <c r="I389">
        <v>5.3944060710072499</v>
      </c>
      <c r="J389">
        <v>1.55167484283447</v>
      </c>
      <c r="K389">
        <v>1.2627909183502199</v>
      </c>
      <c r="M389">
        <v>0.943062424659729</v>
      </c>
      <c r="N389">
        <v>0.49096864461898798</v>
      </c>
      <c r="O389">
        <v>0.29393374919891402</v>
      </c>
      <c r="P389">
        <v>0.37446579337120101</v>
      </c>
      <c r="Q389">
        <v>0.55463314056396495</v>
      </c>
      <c r="R389">
        <v>2017</v>
      </c>
    </row>
    <row r="390" spans="3:18" x14ac:dyDescent="0.35">
      <c r="C390" t="s">
        <v>111</v>
      </c>
      <c r="E390">
        <v>72</v>
      </c>
      <c r="F390">
        <v>5.4299998283386204</v>
      </c>
      <c r="H390">
        <v>5.5453350542485698</v>
      </c>
      <c r="I390">
        <v>5.3146646024286701</v>
      </c>
      <c r="J390">
        <v>0.85769921541214</v>
      </c>
      <c r="K390">
        <v>1.25391757488251</v>
      </c>
      <c r="M390">
        <v>0.46800905466079701</v>
      </c>
      <c r="N390">
        <v>0.58521467447280895</v>
      </c>
      <c r="O390">
        <v>9.9331893026828794E-2</v>
      </c>
      <c r="P390">
        <v>0.193513423204422</v>
      </c>
      <c r="Q390">
        <v>1.9726047515869101</v>
      </c>
      <c r="R390">
        <v>2017</v>
      </c>
    </row>
    <row r="391" spans="3:18" x14ac:dyDescent="0.35">
      <c r="C391" t="s">
        <v>108</v>
      </c>
      <c r="E391">
        <v>73</v>
      </c>
      <c r="F391">
        <v>5.3949999809265101</v>
      </c>
      <c r="H391">
        <v>5.4915696561336498</v>
      </c>
      <c r="I391">
        <v>5.2984303057193802</v>
      </c>
      <c r="J391">
        <v>1.0693175792694101</v>
      </c>
      <c r="K391">
        <v>1.25818979740143</v>
      </c>
      <c r="M391">
        <v>0.65078467130661</v>
      </c>
      <c r="N391">
        <v>0.20871552824974099</v>
      </c>
      <c r="O391">
        <v>4.0903780609369299E-2</v>
      </c>
      <c r="P391">
        <v>0.22012588381767301</v>
      </c>
      <c r="Q391">
        <v>1.9470844268798799</v>
      </c>
      <c r="R391">
        <v>2017</v>
      </c>
    </row>
    <row r="392" spans="3:18" x14ac:dyDescent="0.35">
      <c r="C392" t="s">
        <v>103</v>
      </c>
      <c r="E392">
        <v>74</v>
      </c>
      <c r="F392">
        <v>5.3359999656677202</v>
      </c>
      <c r="H392">
        <v>5.4484100224077698</v>
      </c>
      <c r="I392">
        <v>5.2235899089276803</v>
      </c>
      <c r="J392">
        <v>0.99101239442825295</v>
      </c>
      <c r="K392">
        <v>1.2390888929367101</v>
      </c>
      <c r="M392">
        <v>0.60459005832672097</v>
      </c>
      <c r="N392">
        <v>0.41842114925384499</v>
      </c>
      <c r="O392">
        <v>0.11980327218771</v>
      </c>
      <c r="P392">
        <v>0.172170460224152</v>
      </c>
      <c r="Q392">
        <v>1.79117655754089</v>
      </c>
      <c r="R392">
        <v>2017</v>
      </c>
    </row>
    <row r="393" spans="3:18" x14ac:dyDescent="0.35">
      <c r="C393" t="s">
        <v>125</v>
      </c>
      <c r="E393">
        <v>75</v>
      </c>
      <c r="F393">
        <v>5.3239998817443803</v>
      </c>
      <c r="H393">
        <v>5.4030397091805904</v>
      </c>
      <c r="I393">
        <v>5.24496005430818</v>
      </c>
      <c r="J393">
        <v>1.2860119342803999</v>
      </c>
      <c r="K393">
        <v>1.34313309192657</v>
      </c>
      <c r="M393">
        <v>0.687763452529907</v>
      </c>
      <c r="N393">
        <v>0.17586351931095101</v>
      </c>
      <c r="O393">
        <v>3.66369374096394E-2</v>
      </c>
      <c r="P393">
        <v>7.84016624093056E-2</v>
      </c>
      <c r="Q393">
        <v>1.71645927429199</v>
      </c>
      <c r="R393">
        <v>2017</v>
      </c>
    </row>
    <row r="394" spans="3:18" x14ac:dyDescent="0.35">
      <c r="C394" t="s">
        <v>84</v>
      </c>
      <c r="E394">
        <v>76</v>
      </c>
      <c r="F394">
        <v>5.3109998703002903</v>
      </c>
      <c r="H394">
        <v>5.5813987284898801</v>
      </c>
      <c r="I394">
        <v>5.0406010121107103</v>
      </c>
      <c r="J394">
        <v>0.92557930946350098</v>
      </c>
      <c r="K394">
        <v>1.3682180643081701</v>
      </c>
      <c r="M394">
        <v>0.64102238416671797</v>
      </c>
      <c r="N394">
        <v>0.47430723905563399</v>
      </c>
      <c r="O394">
        <v>5.5267781019210802E-2</v>
      </c>
      <c r="P394">
        <v>0.23381833732128099</v>
      </c>
      <c r="Q394">
        <v>1.61232566833496</v>
      </c>
      <c r="R394">
        <v>2017</v>
      </c>
    </row>
    <row r="395" spans="3:18" x14ac:dyDescent="0.35">
      <c r="C395" t="s">
        <v>81</v>
      </c>
      <c r="E395">
        <v>77</v>
      </c>
      <c r="F395">
        <v>5.2930002212524396</v>
      </c>
      <c r="H395">
        <v>5.3917772045731498</v>
      </c>
      <c r="I395">
        <v>5.1942232379317304</v>
      </c>
      <c r="J395">
        <v>1.22255623340607</v>
      </c>
      <c r="K395">
        <v>0.96798300743103005</v>
      </c>
      <c r="M395">
        <v>0.701288521289825</v>
      </c>
      <c r="N395">
        <v>0.25577229261398299</v>
      </c>
      <c r="O395">
        <v>4.3103110045194598E-2</v>
      </c>
      <c r="P395">
        <v>0.24800297617912301</v>
      </c>
      <c r="Q395">
        <v>1.85449242591858</v>
      </c>
      <c r="R395">
        <v>2017</v>
      </c>
    </row>
    <row r="396" spans="3:18" x14ac:dyDescent="0.35">
      <c r="C396" t="s">
        <v>88</v>
      </c>
      <c r="E396">
        <v>78</v>
      </c>
      <c r="F396">
        <v>5.2789998054504403</v>
      </c>
      <c r="H396">
        <v>5.36484799548984</v>
      </c>
      <c r="I396">
        <v>5.1931516154110398</v>
      </c>
      <c r="J396">
        <v>0.95148438215255704</v>
      </c>
      <c r="K396">
        <v>1.1378535032272299</v>
      </c>
      <c r="M396">
        <v>0.54145205020904497</v>
      </c>
      <c r="N396">
        <v>0.26028794050216703</v>
      </c>
      <c r="O396">
        <v>5.7471618056297302E-2</v>
      </c>
      <c r="P396">
        <v>0.31993144750595098</v>
      </c>
      <c r="Q396">
        <v>2.0105407238006601</v>
      </c>
      <c r="R396">
        <v>2017</v>
      </c>
    </row>
    <row r="397" spans="3:18" x14ac:dyDescent="0.35">
      <c r="C397" t="s">
        <v>105</v>
      </c>
      <c r="E397">
        <v>79</v>
      </c>
      <c r="F397">
        <v>5.2729997634887704</v>
      </c>
      <c r="H397">
        <v>5.3192780897766303</v>
      </c>
      <c r="I397">
        <v>5.2267214372008999</v>
      </c>
      <c r="J397">
        <v>1.08116579055786</v>
      </c>
      <c r="K397">
        <v>1.1608374118804901</v>
      </c>
      <c r="M397">
        <v>0.74141550064086903</v>
      </c>
      <c r="N397">
        <v>0.47278770804405201</v>
      </c>
      <c r="O397">
        <v>2.2794274613261199E-2</v>
      </c>
      <c r="P397">
        <v>2.8806841000914601E-2</v>
      </c>
      <c r="Q397">
        <v>1.7649385929107699</v>
      </c>
      <c r="R397">
        <v>2017</v>
      </c>
    </row>
    <row r="398" spans="3:18" x14ac:dyDescent="0.35">
      <c r="C398" t="s">
        <v>102</v>
      </c>
      <c r="E398">
        <v>80</v>
      </c>
      <c r="F398">
        <v>5.2690000534057599</v>
      </c>
      <c r="H398">
        <v>5.3599836413562301</v>
      </c>
      <c r="I398">
        <v>5.1780164654552898</v>
      </c>
      <c r="J398">
        <v>0.72688353061676003</v>
      </c>
      <c r="K398">
        <v>0.672690689563751</v>
      </c>
      <c r="M398">
        <v>0.40204778313636802</v>
      </c>
      <c r="N398">
        <v>0.23521526157855999</v>
      </c>
      <c r="O398">
        <v>0.124348066747189</v>
      </c>
      <c r="P398">
        <v>0.31544601917266801</v>
      </c>
      <c r="Q398">
        <v>2.7924892902374299</v>
      </c>
      <c r="R398">
        <v>2017</v>
      </c>
    </row>
    <row r="399" spans="3:18" x14ac:dyDescent="0.35">
      <c r="C399" t="s">
        <v>94</v>
      </c>
      <c r="E399">
        <v>81</v>
      </c>
      <c r="F399">
        <v>5.2620000839233398</v>
      </c>
      <c r="H399">
        <v>5.3528885981440499</v>
      </c>
      <c r="I399">
        <v>5.1711115697026298</v>
      </c>
      <c r="J399">
        <v>0.99553859233856201</v>
      </c>
      <c r="K399">
        <v>1.2744446992874101</v>
      </c>
      <c r="M399">
        <v>0.492345720529556</v>
      </c>
      <c r="N399">
        <v>0.44332346320152299</v>
      </c>
      <c r="O399">
        <v>1.5317135490477101E-2</v>
      </c>
      <c r="P399">
        <v>0.61170458793640103</v>
      </c>
      <c r="Q399">
        <v>1.42947697639465</v>
      </c>
      <c r="R399">
        <v>2017</v>
      </c>
    </row>
    <row r="400" spans="3:18" x14ac:dyDescent="0.35">
      <c r="C400" t="s">
        <v>39</v>
      </c>
      <c r="E400">
        <v>82</v>
      </c>
      <c r="F400">
        <v>5.25</v>
      </c>
      <c r="H400">
        <v>5.3700319455564003</v>
      </c>
      <c r="I400">
        <v>5.1299680544435997</v>
      </c>
      <c r="J400">
        <v>1.1284312009811399</v>
      </c>
      <c r="K400">
        <v>1.4313375949859599</v>
      </c>
      <c r="M400">
        <v>0.61714422702789296</v>
      </c>
      <c r="N400">
        <v>0.153997123241425</v>
      </c>
      <c r="O400">
        <v>6.4491122961044298E-2</v>
      </c>
      <c r="P400">
        <v>6.5019629895687103E-2</v>
      </c>
      <c r="Q400">
        <v>1.7894637584686299</v>
      </c>
      <c r="R400">
        <v>2017</v>
      </c>
    </row>
    <row r="401" spans="3:18" x14ac:dyDescent="0.35">
      <c r="C401" t="s">
        <v>104</v>
      </c>
      <c r="E401">
        <v>83</v>
      </c>
      <c r="F401">
        <v>5.23699998855591</v>
      </c>
      <c r="H401">
        <v>5.3410444405674902</v>
      </c>
      <c r="I401">
        <v>5.13295553654432</v>
      </c>
      <c r="J401">
        <v>1.1211290359497099</v>
      </c>
      <c r="K401">
        <v>1.23837649822235</v>
      </c>
      <c r="M401">
        <v>0.66746467351913497</v>
      </c>
      <c r="N401">
        <v>0.19498905539512601</v>
      </c>
      <c r="O401">
        <v>8.8174194097518893E-2</v>
      </c>
      <c r="P401">
        <v>0.19791102409362801</v>
      </c>
      <c r="Q401">
        <v>1.72919154167175</v>
      </c>
      <c r="R401">
        <v>2017</v>
      </c>
    </row>
    <row r="402" spans="3:18" x14ac:dyDescent="0.35">
      <c r="C402" t="s">
        <v>113</v>
      </c>
      <c r="E402">
        <v>84</v>
      </c>
      <c r="F402">
        <v>5.2350001335143999</v>
      </c>
      <c r="H402">
        <v>5.31834096476436</v>
      </c>
      <c r="I402">
        <v>5.1516593022644503</v>
      </c>
      <c r="J402">
        <v>0.87811458110809304</v>
      </c>
      <c r="K402">
        <v>0.77486443519592296</v>
      </c>
      <c r="M402">
        <v>0.59771066904068004</v>
      </c>
      <c r="N402">
        <v>0.40815833210945102</v>
      </c>
      <c r="O402">
        <v>8.7763182818889604E-2</v>
      </c>
      <c r="P402">
        <v>3.2209955155849498E-2</v>
      </c>
      <c r="Q402">
        <v>2.4561893939971902</v>
      </c>
      <c r="R402">
        <v>2017</v>
      </c>
    </row>
    <row r="403" spans="3:18" x14ac:dyDescent="0.35">
      <c r="C403" t="s">
        <v>101</v>
      </c>
      <c r="E403">
        <v>85</v>
      </c>
      <c r="F403">
        <v>5.2340002059936497</v>
      </c>
      <c r="H403">
        <v>5.2992865352332599</v>
      </c>
      <c r="I403">
        <v>5.1687138767540501</v>
      </c>
      <c r="J403">
        <v>1.1536017656326301</v>
      </c>
      <c r="K403">
        <v>1.15240025520325</v>
      </c>
      <c r="M403">
        <v>0.54077577590942405</v>
      </c>
      <c r="N403">
        <v>0.398155838251114</v>
      </c>
      <c r="O403">
        <v>0.18098750710487399</v>
      </c>
      <c r="P403">
        <v>4.5269340276718098E-2</v>
      </c>
      <c r="Q403">
        <v>1.7624816894531199</v>
      </c>
      <c r="R403">
        <v>2017</v>
      </c>
    </row>
    <row r="404" spans="3:18" x14ac:dyDescent="0.35">
      <c r="C404" t="s">
        <v>119</v>
      </c>
      <c r="E404">
        <v>86</v>
      </c>
      <c r="F404">
        <v>5.2300000190734899</v>
      </c>
      <c r="H404">
        <v>5.3490608851611601</v>
      </c>
      <c r="I404">
        <v>5.1109391529858099</v>
      </c>
      <c r="J404">
        <v>1.07937383651733</v>
      </c>
      <c r="K404">
        <v>1.40241670608521</v>
      </c>
      <c r="M404">
        <v>0.57487374544143699</v>
      </c>
      <c r="N404">
        <v>0.55258983373642001</v>
      </c>
      <c r="O404">
        <v>0.113945253193378</v>
      </c>
      <c r="P404">
        <v>0.18696784973144501</v>
      </c>
      <c r="Q404">
        <v>1.3194651603698699</v>
      </c>
      <c r="R404">
        <v>2017</v>
      </c>
    </row>
    <row r="405" spans="3:18" x14ac:dyDescent="0.35">
      <c r="C405" t="s">
        <v>123</v>
      </c>
      <c r="E405">
        <v>87</v>
      </c>
      <c r="F405">
        <v>5.2270002365112296</v>
      </c>
      <c r="H405">
        <v>5.3252461694180999</v>
      </c>
      <c r="I405">
        <v>5.1287543036043601</v>
      </c>
      <c r="J405">
        <v>1.2894874811172501</v>
      </c>
      <c r="K405">
        <v>1.2394145727157599</v>
      </c>
      <c r="M405">
        <v>0.81019890308380105</v>
      </c>
      <c r="N405">
        <v>9.5731250941753401E-2</v>
      </c>
      <c r="O405">
        <v>4.3289776891469997E-2</v>
      </c>
      <c r="P405">
        <v>0</v>
      </c>
      <c r="Q405">
        <v>1.7492215633392301</v>
      </c>
      <c r="R405">
        <v>2017</v>
      </c>
    </row>
    <row r="406" spans="3:18" x14ac:dyDescent="0.35">
      <c r="C406" t="s">
        <v>124</v>
      </c>
      <c r="E406">
        <v>88</v>
      </c>
      <c r="F406">
        <v>5.2249999046325701</v>
      </c>
      <c r="H406">
        <v>5.3188822884857698</v>
      </c>
      <c r="I406">
        <v>5.1311175207793696</v>
      </c>
      <c r="J406">
        <v>1.0749875307083101</v>
      </c>
      <c r="K406">
        <v>1.1296242475509599</v>
      </c>
      <c r="M406">
        <v>0.73508107662200906</v>
      </c>
      <c r="N406">
        <v>0.288515985012054</v>
      </c>
      <c r="O406">
        <v>3.7513829767704003E-2</v>
      </c>
      <c r="P406">
        <v>0.26445075869560197</v>
      </c>
      <c r="Q406">
        <v>1.69507384300232</v>
      </c>
      <c r="R406">
        <v>2017</v>
      </c>
    </row>
    <row r="407" spans="3:18" x14ac:dyDescent="0.35">
      <c r="C407" t="s">
        <v>109</v>
      </c>
      <c r="E407">
        <v>89</v>
      </c>
      <c r="F407">
        <v>5.1950001716613796</v>
      </c>
      <c r="H407">
        <v>5.2850417330861097</v>
      </c>
      <c r="I407">
        <v>5.1049586102366504</v>
      </c>
      <c r="J407">
        <v>1.3151752948761</v>
      </c>
      <c r="K407">
        <v>1.36704301834106</v>
      </c>
      <c r="M407">
        <v>0.79584354162216198</v>
      </c>
      <c r="N407">
        <v>0.49846529960632302</v>
      </c>
      <c r="O407">
        <v>1.5869451686739901E-2</v>
      </c>
      <c r="P407">
        <v>9.5102712512016296E-2</v>
      </c>
      <c r="Q407">
        <v>1.10768270492554</v>
      </c>
      <c r="R407">
        <v>2017</v>
      </c>
    </row>
    <row r="408" spans="3:18" x14ac:dyDescent="0.35">
      <c r="C408" t="s">
        <v>117</v>
      </c>
      <c r="E408">
        <v>90</v>
      </c>
      <c r="F408">
        <v>5.1820001602172896</v>
      </c>
      <c r="H408">
        <v>5.27633568674326</v>
      </c>
      <c r="I408">
        <v>5.0876646336913103</v>
      </c>
      <c r="J408">
        <v>0.98240941762924205</v>
      </c>
      <c r="K408">
        <v>1.0693359375</v>
      </c>
      <c r="M408">
        <v>0.705186307430267</v>
      </c>
      <c r="N408">
        <v>0.204403176903725</v>
      </c>
      <c r="O408">
        <v>0</v>
      </c>
      <c r="P408">
        <v>0.32886749505996699</v>
      </c>
      <c r="Q408">
        <v>1.89217257499695</v>
      </c>
      <c r="R408">
        <v>2017</v>
      </c>
    </row>
    <row r="409" spans="3:18" x14ac:dyDescent="0.35">
      <c r="C409" t="s">
        <v>126</v>
      </c>
      <c r="E409">
        <v>91</v>
      </c>
      <c r="F409">
        <v>5.1810002326965297</v>
      </c>
      <c r="H409">
        <v>5.30158279687166</v>
      </c>
      <c r="I409">
        <v>5.0604176685214002</v>
      </c>
      <c r="J409">
        <v>0.73057311773300204</v>
      </c>
      <c r="K409">
        <v>1.1439449787139899</v>
      </c>
      <c r="M409">
        <v>0.582569479942322</v>
      </c>
      <c r="N409">
        <v>0.34807986021041898</v>
      </c>
      <c r="O409">
        <v>7.3345452547073406E-2</v>
      </c>
      <c r="P409">
        <v>0.23618887364864299</v>
      </c>
      <c r="Q409">
        <v>2.0658111572265598</v>
      </c>
      <c r="R409">
        <v>2017</v>
      </c>
    </row>
    <row r="410" spans="3:18" x14ac:dyDescent="0.35">
      <c r="C410" t="s">
        <v>114</v>
      </c>
      <c r="E410">
        <v>92</v>
      </c>
      <c r="F410">
        <v>5.1750001907348597</v>
      </c>
      <c r="H410">
        <v>5.27217263966799</v>
      </c>
      <c r="I410">
        <v>5.0778277418017401</v>
      </c>
      <c r="J410">
        <v>1.0645779371261599</v>
      </c>
      <c r="K410">
        <v>1.2078930139541599</v>
      </c>
      <c r="M410">
        <v>0.64494818449020397</v>
      </c>
      <c r="N410">
        <v>0.32590597867965698</v>
      </c>
      <c r="O410">
        <v>6.0277793556451797E-2</v>
      </c>
      <c r="P410">
        <v>0.25376096367835999</v>
      </c>
      <c r="Q410">
        <v>1.6174693107605</v>
      </c>
      <c r="R410">
        <v>2017</v>
      </c>
    </row>
    <row r="411" spans="3:18" x14ac:dyDescent="0.35">
      <c r="C411" t="s">
        <v>209</v>
      </c>
      <c r="E411">
        <v>93</v>
      </c>
      <c r="F411">
        <v>5.15100002288818</v>
      </c>
      <c r="H411">
        <v>5.2424837099015704</v>
      </c>
      <c r="I411">
        <v>5.0595163358748003</v>
      </c>
      <c r="J411">
        <v>2.2643184289336201E-2</v>
      </c>
      <c r="K411">
        <v>0.72115135192871105</v>
      </c>
      <c r="M411">
        <v>0.113989137113094</v>
      </c>
      <c r="N411">
        <v>0.60212695598602295</v>
      </c>
      <c r="O411">
        <v>0.28241032361984297</v>
      </c>
      <c r="P411">
        <v>0.29163131117820701</v>
      </c>
      <c r="Q411">
        <v>3.1174845695495601</v>
      </c>
      <c r="R411">
        <v>2017</v>
      </c>
    </row>
    <row r="412" spans="3:18" x14ac:dyDescent="0.35">
      <c r="C412" t="s">
        <v>95</v>
      </c>
      <c r="E412">
        <v>94</v>
      </c>
      <c r="F412">
        <v>5.0739998817443803</v>
      </c>
      <c r="H412">
        <v>5.1472807645797696</v>
      </c>
      <c r="I412">
        <v>5.000718998909</v>
      </c>
      <c r="J412">
        <v>0.78854757547378496</v>
      </c>
      <c r="K412">
        <v>1.2774913311004601</v>
      </c>
      <c r="M412">
        <v>0.652168989181519</v>
      </c>
      <c r="N412">
        <v>0.57105559110641502</v>
      </c>
      <c r="O412">
        <v>8.7633237242698697E-2</v>
      </c>
      <c r="P412">
        <v>0.234968051314354</v>
      </c>
      <c r="Q412">
        <v>1.46231865882874</v>
      </c>
      <c r="R412">
        <v>2017</v>
      </c>
    </row>
    <row r="413" spans="3:18" x14ac:dyDescent="0.35">
      <c r="C413" t="s">
        <v>98</v>
      </c>
      <c r="E413">
        <v>95</v>
      </c>
      <c r="F413">
        <v>5.0739998817443803</v>
      </c>
      <c r="H413">
        <v>5.2095001354813597</v>
      </c>
      <c r="I413">
        <v>4.9384996280074098</v>
      </c>
      <c r="J413">
        <v>0.78375625610351596</v>
      </c>
      <c r="K413">
        <v>1.21577048301697</v>
      </c>
      <c r="M413">
        <v>5.6915730237960802E-2</v>
      </c>
      <c r="N413">
        <v>0.39495256543159502</v>
      </c>
      <c r="O413">
        <v>2.61215660721064E-2</v>
      </c>
      <c r="P413">
        <v>0.23094719648361201</v>
      </c>
      <c r="Q413">
        <v>2.3653905391693102</v>
      </c>
      <c r="R413">
        <v>2017</v>
      </c>
    </row>
    <row r="414" spans="3:18" x14ac:dyDescent="0.35">
      <c r="C414" t="s">
        <v>127</v>
      </c>
      <c r="E414">
        <v>96</v>
      </c>
      <c r="F414">
        <v>5.0409998893737802</v>
      </c>
      <c r="H414">
        <v>5.1114255958795596</v>
      </c>
      <c r="I414">
        <v>4.9705741828679999</v>
      </c>
      <c r="J414">
        <v>0.524713635444641</v>
      </c>
      <c r="K414">
        <v>1.27146327495575</v>
      </c>
      <c r="M414">
        <v>0.52923512458801303</v>
      </c>
      <c r="N414">
        <v>0.47156670689582803</v>
      </c>
      <c r="O414">
        <v>0.14637714624404899</v>
      </c>
      <c r="P414">
        <v>0.24899764358997301</v>
      </c>
      <c r="Q414">
        <v>1.84904932975769</v>
      </c>
      <c r="R414">
        <v>2017</v>
      </c>
    </row>
    <row r="415" spans="3:18" x14ac:dyDescent="0.35">
      <c r="C415" t="s">
        <v>99</v>
      </c>
      <c r="E415">
        <v>97</v>
      </c>
      <c r="F415">
        <v>5.0110001564025897</v>
      </c>
      <c r="H415">
        <v>5.0793345621228196</v>
      </c>
      <c r="I415">
        <v>4.9426657506823499</v>
      </c>
      <c r="J415">
        <v>0.88541638851165805</v>
      </c>
      <c r="K415">
        <v>1.34012651443481</v>
      </c>
      <c r="M415">
        <v>0.49587929248809798</v>
      </c>
      <c r="N415">
        <v>0.50153768062591597</v>
      </c>
      <c r="O415">
        <v>0.17338038980960799</v>
      </c>
      <c r="P415">
        <v>0.474054545164108</v>
      </c>
      <c r="Q415">
        <v>1.1401844024658201</v>
      </c>
      <c r="R415">
        <v>2017</v>
      </c>
    </row>
    <row r="416" spans="3:18" x14ac:dyDescent="0.35">
      <c r="C416" t="s">
        <v>97</v>
      </c>
      <c r="E416">
        <v>98</v>
      </c>
      <c r="F416">
        <v>5.0040001869201696</v>
      </c>
      <c r="H416">
        <v>5.0899199031293403</v>
      </c>
      <c r="I416">
        <v>4.91808047071099</v>
      </c>
      <c r="J416">
        <v>0.59622007608413696</v>
      </c>
      <c r="K416">
        <v>1.3942385911941499</v>
      </c>
      <c r="M416">
        <v>0.55345779657363903</v>
      </c>
      <c r="N416">
        <v>0.45494338870048501</v>
      </c>
      <c r="O416">
        <v>3.9439179003238699E-2</v>
      </c>
      <c r="P416">
        <v>0.42858037352562001</v>
      </c>
      <c r="Q416">
        <v>1.5367231369018599</v>
      </c>
      <c r="R416">
        <v>2017</v>
      </c>
    </row>
    <row r="417" spans="3:18" x14ac:dyDescent="0.35">
      <c r="C417" t="s">
        <v>142</v>
      </c>
      <c r="E417">
        <v>99</v>
      </c>
      <c r="F417">
        <v>4.9619998931884801</v>
      </c>
      <c r="H417">
        <v>5.0673560793697803</v>
      </c>
      <c r="I417">
        <v>4.8566437070071702</v>
      </c>
      <c r="J417">
        <v>0.47982019186019897</v>
      </c>
      <c r="K417">
        <v>1.17928326129913</v>
      </c>
      <c r="M417">
        <v>0.50413078069686901</v>
      </c>
      <c r="N417">
        <v>0.44030594825744601</v>
      </c>
      <c r="O417">
        <v>7.2975546121597304E-2</v>
      </c>
      <c r="P417">
        <v>0.39409616589546198</v>
      </c>
      <c r="Q417">
        <v>1.8912410736084</v>
      </c>
      <c r="R417">
        <v>2017</v>
      </c>
    </row>
    <row r="418" spans="3:18" x14ac:dyDescent="0.35">
      <c r="C418" t="s">
        <v>121</v>
      </c>
      <c r="E418">
        <v>100</v>
      </c>
      <c r="F418">
        <v>4.9549999237060502</v>
      </c>
      <c r="H418">
        <v>5.0216795091330999</v>
      </c>
      <c r="I418">
        <v>4.8883203382790104</v>
      </c>
      <c r="J418">
        <v>1.0272358655929601</v>
      </c>
      <c r="K418">
        <v>1.4930112361907999</v>
      </c>
      <c r="M418">
        <v>0.55778348445892301</v>
      </c>
      <c r="N418">
        <v>0.39414396882057201</v>
      </c>
      <c r="O418">
        <v>3.2902289181947701E-2</v>
      </c>
      <c r="P418">
        <v>0.33846423029899603</v>
      </c>
      <c r="Q418">
        <v>1.1112923622131301</v>
      </c>
      <c r="R418">
        <v>2017</v>
      </c>
    </row>
    <row r="419" spans="3:18" x14ac:dyDescent="0.35">
      <c r="C419" t="s">
        <v>134</v>
      </c>
      <c r="E419">
        <v>101</v>
      </c>
      <c r="F419">
        <v>4.8289999961853001</v>
      </c>
      <c r="H419">
        <v>4.9294351877272096</v>
      </c>
      <c r="I419">
        <v>4.7285648046433897</v>
      </c>
      <c r="J419">
        <v>1.05469870567322</v>
      </c>
      <c r="K419">
        <v>1.38478863239288</v>
      </c>
      <c r="M419">
        <v>0.18708007037639601</v>
      </c>
      <c r="N419">
        <v>0.479246735572815</v>
      </c>
      <c r="O419">
        <v>7.2509497404098497E-2</v>
      </c>
      <c r="P419">
        <v>0.13936237990856201</v>
      </c>
      <c r="Q419">
        <v>1.51090860366821</v>
      </c>
      <c r="R419">
        <v>2017</v>
      </c>
    </row>
    <row r="420" spans="3:18" x14ac:dyDescent="0.35">
      <c r="C420" t="s">
        <v>128</v>
      </c>
      <c r="E420">
        <v>102</v>
      </c>
      <c r="F420">
        <v>4.8049998283386204</v>
      </c>
      <c r="H420">
        <v>4.8843670070171399</v>
      </c>
      <c r="I420">
        <v>4.7256326496601098</v>
      </c>
      <c r="J420">
        <v>1.0072658061981199</v>
      </c>
      <c r="K420">
        <v>0.86835145950317405</v>
      </c>
      <c r="M420">
        <v>0.61321204900741599</v>
      </c>
      <c r="N420">
        <v>0.28968068957328802</v>
      </c>
      <c r="O420">
        <v>8.6723148822784396E-2</v>
      </c>
      <c r="P420">
        <v>4.96933571994305E-2</v>
      </c>
      <c r="Q420">
        <v>1.8902511596679701</v>
      </c>
      <c r="R420">
        <v>2017</v>
      </c>
    </row>
    <row r="421" spans="3:18" x14ac:dyDescent="0.35">
      <c r="C421" t="s">
        <v>129</v>
      </c>
      <c r="E421">
        <v>103</v>
      </c>
      <c r="F421">
        <v>4.7750000953674299</v>
      </c>
      <c r="H421">
        <v>4.8818483425676797</v>
      </c>
      <c r="I421">
        <v>4.66815184816718</v>
      </c>
      <c r="J421">
        <v>0.71624922752380404</v>
      </c>
      <c r="K421">
        <v>1.1556471586227399</v>
      </c>
      <c r="M421">
        <v>0.56566697359085105</v>
      </c>
      <c r="N421">
        <v>0.25471106171607999</v>
      </c>
      <c r="O421">
        <v>8.9282602071762099E-2</v>
      </c>
      <c r="P421">
        <v>0.114173173904419</v>
      </c>
      <c r="Q421">
        <v>1.8788902759552</v>
      </c>
      <c r="R421">
        <v>2017</v>
      </c>
    </row>
    <row r="422" spans="3:18" x14ac:dyDescent="0.35">
      <c r="C422" t="s">
        <v>156</v>
      </c>
      <c r="E422">
        <v>104</v>
      </c>
      <c r="F422">
        <v>4.7350001335143999</v>
      </c>
      <c r="H422">
        <v>4.8251337896287403</v>
      </c>
      <c r="I422">
        <v>4.6448664774000603</v>
      </c>
      <c r="J422">
        <v>0.989701807498932</v>
      </c>
      <c r="K422">
        <v>0.99747139215469405</v>
      </c>
      <c r="M422">
        <v>0.52018725872039795</v>
      </c>
      <c r="N422">
        <v>0.282110154628754</v>
      </c>
      <c r="O422">
        <v>0.114381365478039</v>
      </c>
      <c r="P422">
        <v>0.12863144278526301</v>
      </c>
      <c r="Q422">
        <v>1.7021610736846899</v>
      </c>
      <c r="R422">
        <v>2017</v>
      </c>
    </row>
    <row r="423" spans="3:18" x14ac:dyDescent="0.35">
      <c r="C423" t="s">
        <v>155</v>
      </c>
      <c r="E423">
        <v>105</v>
      </c>
      <c r="F423">
        <v>4.7140002250671396</v>
      </c>
      <c r="H423">
        <v>4.8036947064101696</v>
      </c>
      <c r="I423">
        <v>4.6243057437241104</v>
      </c>
      <c r="J423">
        <v>1.1614590883255</v>
      </c>
      <c r="K423">
        <v>1.4343794584274301</v>
      </c>
      <c r="M423">
        <v>0.70821768045425404</v>
      </c>
      <c r="N423">
        <v>0.289231717586517</v>
      </c>
      <c r="O423">
        <v>1.1051530949771401E-2</v>
      </c>
      <c r="P423">
        <v>0.11317769438028299</v>
      </c>
      <c r="Q423">
        <v>0.99613928794860795</v>
      </c>
      <c r="R423">
        <v>2017</v>
      </c>
    </row>
    <row r="424" spans="3:18" x14ac:dyDescent="0.35">
      <c r="C424" t="s">
        <v>144</v>
      </c>
      <c r="E424">
        <v>106</v>
      </c>
      <c r="F424">
        <v>4.7090001106262198</v>
      </c>
      <c r="H424">
        <v>4.8506433349847802</v>
      </c>
      <c r="I424">
        <v>4.5673568862676603</v>
      </c>
      <c r="J424">
        <v>0.36842092871665999</v>
      </c>
      <c r="K424">
        <v>0.98413604497909501</v>
      </c>
      <c r="M424">
        <v>5.5647538974881198E-3</v>
      </c>
      <c r="N424">
        <v>0.31869769096374501</v>
      </c>
      <c r="O424">
        <v>7.1095176041126307E-2</v>
      </c>
      <c r="P424">
        <v>0.293040901422501</v>
      </c>
      <c r="Q424">
        <v>2.6684598922729501</v>
      </c>
      <c r="R424">
        <v>2017</v>
      </c>
    </row>
    <row r="425" spans="3:18" x14ac:dyDescent="0.35">
      <c r="C425" t="s">
        <v>154</v>
      </c>
      <c r="E425">
        <v>107</v>
      </c>
      <c r="F425">
        <v>4.6950001716613796</v>
      </c>
      <c r="H425">
        <v>4.7965408572554598</v>
      </c>
      <c r="I425">
        <v>4.5934594860673004</v>
      </c>
      <c r="J425">
        <v>0.56430536508560203</v>
      </c>
      <c r="K425">
        <v>0.94601821899414096</v>
      </c>
      <c r="M425">
        <v>0.13289211690425901</v>
      </c>
      <c r="N425">
        <v>0.43038874864578203</v>
      </c>
      <c r="O425">
        <v>5.1306631416082403E-2</v>
      </c>
      <c r="P425">
        <v>0.23629845678806299</v>
      </c>
      <c r="Q425">
        <v>2.3336455821990998</v>
      </c>
      <c r="R425">
        <v>2017</v>
      </c>
    </row>
    <row r="426" spans="3:18" x14ac:dyDescent="0.35">
      <c r="C426" t="s">
        <v>131</v>
      </c>
      <c r="E426">
        <v>108</v>
      </c>
      <c r="F426">
        <v>4.6919999122619602</v>
      </c>
      <c r="H426">
        <v>4.7982247076928601</v>
      </c>
      <c r="I426">
        <v>4.5857751168310603</v>
      </c>
      <c r="J426">
        <v>1.1568731069564799</v>
      </c>
      <c r="K426">
        <v>0.71155124902725198</v>
      </c>
      <c r="M426">
        <v>0.63933318853378296</v>
      </c>
      <c r="N426">
        <v>0.24932260811328899</v>
      </c>
      <c r="O426">
        <v>4.8761073499917998E-2</v>
      </c>
      <c r="P426">
        <v>0.38724291324615501</v>
      </c>
      <c r="Q426">
        <v>1.49873495101929</v>
      </c>
      <c r="R426">
        <v>2017</v>
      </c>
    </row>
    <row r="427" spans="3:18" x14ac:dyDescent="0.35">
      <c r="C427" t="s">
        <v>116</v>
      </c>
      <c r="E427">
        <v>109</v>
      </c>
      <c r="F427">
        <v>4.6440000534057599</v>
      </c>
      <c r="H427">
        <v>4.7524640063941499</v>
      </c>
      <c r="I427">
        <v>4.5355361004173798</v>
      </c>
      <c r="J427">
        <v>0.99619275331497203</v>
      </c>
      <c r="K427">
        <v>0.80368524789810203</v>
      </c>
      <c r="M427">
        <v>0.73115974664688099</v>
      </c>
      <c r="N427">
        <v>0.38149863481521601</v>
      </c>
      <c r="O427">
        <v>3.9864215999841697E-2</v>
      </c>
      <c r="P427">
        <v>0.20131294429302199</v>
      </c>
      <c r="Q427">
        <v>1.4904415607452399</v>
      </c>
      <c r="R427">
        <v>2017</v>
      </c>
    </row>
    <row r="428" spans="3:18" x14ac:dyDescent="0.35">
      <c r="C428" t="s">
        <v>130</v>
      </c>
      <c r="E428">
        <v>110</v>
      </c>
      <c r="F428">
        <v>4.6079998016357404</v>
      </c>
      <c r="H428">
        <v>4.6898216582834698</v>
      </c>
      <c r="I428">
        <v>4.5261779449880102</v>
      </c>
      <c r="J428">
        <v>0.58668297529220603</v>
      </c>
      <c r="K428">
        <v>0.73513174057006803</v>
      </c>
      <c r="M428">
        <v>0.53324103355407704</v>
      </c>
      <c r="N428">
        <v>0.47835665941238398</v>
      </c>
      <c r="O428">
        <v>0.123717859387398</v>
      </c>
      <c r="P428">
        <v>0.17225535213947299</v>
      </c>
      <c r="Q428">
        <v>1.9787361621856701</v>
      </c>
      <c r="R428">
        <v>2017</v>
      </c>
    </row>
    <row r="429" spans="3:18" x14ac:dyDescent="0.35">
      <c r="C429" t="s">
        <v>211</v>
      </c>
      <c r="E429">
        <v>111</v>
      </c>
      <c r="F429">
        <v>4.5739998817443803</v>
      </c>
      <c r="H429">
        <v>4.7703547409176803</v>
      </c>
      <c r="I429">
        <v>4.3776450225710901</v>
      </c>
      <c r="J429">
        <v>0.96443432569503795</v>
      </c>
      <c r="K429">
        <v>1.0984708070755</v>
      </c>
      <c r="M429">
        <v>0.33861181139946001</v>
      </c>
      <c r="N429">
        <v>0.52030354738235496</v>
      </c>
      <c r="O429">
        <v>9.3146972358226804E-2</v>
      </c>
      <c r="P429">
        <v>7.7133744955062894E-2</v>
      </c>
      <c r="Q429">
        <v>1.4818902015686</v>
      </c>
      <c r="R429">
        <v>2017</v>
      </c>
    </row>
    <row r="430" spans="3:18" x14ac:dyDescent="0.35">
      <c r="C430" t="s">
        <v>146</v>
      </c>
      <c r="E430">
        <v>112</v>
      </c>
      <c r="F430">
        <v>4.55299997329712</v>
      </c>
      <c r="H430">
        <v>4.6556915906071703</v>
      </c>
      <c r="I430">
        <v>4.4503083559870698</v>
      </c>
      <c r="J430">
        <v>0.56047946214675903</v>
      </c>
      <c r="K430">
        <v>1.0679507255554199</v>
      </c>
      <c r="M430">
        <v>0.30998834967613198</v>
      </c>
      <c r="N430">
        <v>0.45276376605033902</v>
      </c>
      <c r="O430">
        <v>6.4641319215297699E-2</v>
      </c>
      <c r="P430">
        <v>0.444860309362411</v>
      </c>
      <c r="Q430">
        <v>1.6519021987914999</v>
      </c>
      <c r="R430">
        <v>2017</v>
      </c>
    </row>
    <row r="431" spans="3:18" x14ac:dyDescent="0.35">
      <c r="C431" t="s">
        <v>115</v>
      </c>
      <c r="E431">
        <v>113</v>
      </c>
      <c r="F431">
        <v>4.5500001907348597</v>
      </c>
      <c r="H431">
        <v>4.7741023263335203</v>
      </c>
      <c r="I431">
        <v>4.3258980551362001</v>
      </c>
      <c r="J431">
        <v>0.234305649995804</v>
      </c>
      <c r="K431">
        <v>0.87070101499557495</v>
      </c>
      <c r="M431">
        <v>0.106654435396194</v>
      </c>
      <c r="N431">
        <v>0.48079109191894498</v>
      </c>
      <c r="O431">
        <v>0.179436385631561</v>
      </c>
      <c r="P431">
        <v>0.322228103876114</v>
      </c>
      <c r="Q431">
        <v>2.35565090179443</v>
      </c>
      <c r="R431">
        <v>2017</v>
      </c>
    </row>
    <row r="432" spans="3:18" x14ac:dyDescent="0.35">
      <c r="C432" t="s">
        <v>150</v>
      </c>
      <c r="E432">
        <v>114</v>
      </c>
      <c r="F432">
        <v>4.5450000762939498</v>
      </c>
      <c r="H432">
        <v>4.6147399464249599</v>
      </c>
      <c r="I432">
        <v>4.4752602061629299</v>
      </c>
      <c r="J432">
        <v>0.36711055040359503</v>
      </c>
      <c r="K432">
        <v>1.12323594093323</v>
      </c>
      <c r="M432">
        <v>0.39752256870269798</v>
      </c>
      <c r="N432">
        <v>0.51449203491210904</v>
      </c>
      <c r="O432">
        <v>0.18881620466709101</v>
      </c>
      <c r="P432">
        <v>0.83807516098022505</v>
      </c>
      <c r="Q432">
        <v>1.11529040336609</v>
      </c>
      <c r="R432">
        <v>2017</v>
      </c>
    </row>
    <row r="433" spans="3:18" x14ac:dyDescent="0.35">
      <c r="C433" t="s">
        <v>163</v>
      </c>
      <c r="E433">
        <v>115</v>
      </c>
      <c r="F433">
        <v>4.5349998474121103</v>
      </c>
      <c r="H433">
        <v>4.6016037812828996</v>
      </c>
      <c r="I433">
        <v>4.46839591354132</v>
      </c>
      <c r="J433">
        <v>0.479309022426605</v>
      </c>
      <c r="K433">
        <v>1.17969191074371</v>
      </c>
      <c r="M433">
        <v>0.409362852573395</v>
      </c>
      <c r="N433">
        <v>0.37792226672172502</v>
      </c>
      <c r="O433">
        <v>0.115460447967052</v>
      </c>
      <c r="P433">
        <v>0.183468893170357</v>
      </c>
      <c r="Q433">
        <v>1.78964614868164</v>
      </c>
      <c r="R433">
        <v>2017</v>
      </c>
    </row>
    <row r="434" spans="3:18" x14ac:dyDescent="0.35">
      <c r="C434" t="s">
        <v>106</v>
      </c>
      <c r="E434">
        <v>116</v>
      </c>
      <c r="F434">
        <v>4.5139999389648402</v>
      </c>
      <c r="H434">
        <v>4.64410550147295</v>
      </c>
      <c r="I434">
        <v>4.3838943764567402</v>
      </c>
      <c r="J434">
        <v>0.63640677928924605</v>
      </c>
      <c r="K434">
        <v>1.0031872987747199</v>
      </c>
      <c r="M434">
        <v>0.25783589482307401</v>
      </c>
      <c r="N434">
        <v>0.46160349249839799</v>
      </c>
      <c r="O434">
        <v>7.8213550150394398E-2</v>
      </c>
      <c r="P434">
        <v>0.24958014488220201</v>
      </c>
      <c r="Q434">
        <v>1.82670545578003</v>
      </c>
      <c r="R434">
        <v>2017</v>
      </c>
    </row>
    <row r="435" spans="3:18" x14ac:dyDescent="0.35">
      <c r="C435" t="s">
        <v>133</v>
      </c>
      <c r="E435">
        <v>117</v>
      </c>
      <c r="F435">
        <v>4.4970002174377397</v>
      </c>
      <c r="H435">
        <v>4.6225914096832303</v>
      </c>
      <c r="I435">
        <v>4.3714090251922597</v>
      </c>
      <c r="J435">
        <v>1.10271048545837</v>
      </c>
      <c r="K435">
        <v>0.97861319780349698</v>
      </c>
      <c r="M435">
        <v>0.50118046998977706</v>
      </c>
      <c r="N435">
        <v>0.28855553269386303</v>
      </c>
      <c r="O435">
        <v>0.10721575468778601</v>
      </c>
      <c r="P435">
        <v>0.19963726401328999</v>
      </c>
      <c r="Q435">
        <v>1.3189072608947801</v>
      </c>
      <c r="R435">
        <v>2017</v>
      </c>
    </row>
    <row r="436" spans="3:18" x14ac:dyDescent="0.35">
      <c r="C436" t="s">
        <v>164</v>
      </c>
      <c r="E436">
        <v>118</v>
      </c>
      <c r="F436">
        <v>4.4650001525878897</v>
      </c>
      <c r="H436">
        <v>4.5573617656529004</v>
      </c>
      <c r="I436">
        <v>4.3726385395228897</v>
      </c>
      <c r="J436">
        <v>1.1982102394103999</v>
      </c>
      <c r="K436">
        <v>1.1556202173232999</v>
      </c>
      <c r="M436">
        <v>0.356578588485718</v>
      </c>
      <c r="N436">
        <v>0.31232857704162598</v>
      </c>
      <c r="O436">
        <v>7.6046787202358204E-2</v>
      </c>
      <c r="P436">
        <v>4.3785378336906398E-2</v>
      </c>
      <c r="Q436">
        <v>1.3229162693023699</v>
      </c>
      <c r="R436">
        <v>2017</v>
      </c>
    </row>
    <row r="437" spans="3:18" x14ac:dyDescent="0.35">
      <c r="C437" t="s">
        <v>143</v>
      </c>
      <c r="E437">
        <v>119</v>
      </c>
      <c r="F437">
        <v>4.46000003814697</v>
      </c>
      <c r="H437">
        <v>4.5427286766469503</v>
      </c>
      <c r="I437">
        <v>4.3772713996470003</v>
      </c>
      <c r="J437">
        <v>0.33923384547233598</v>
      </c>
      <c r="K437">
        <v>0.86466920375823997</v>
      </c>
      <c r="M437">
        <v>0.35340970754623402</v>
      </c>
      <c r="N437">
        <v>0.40884274244308499</v>
      </c>
      <c r="O437">
        <v>0.16545571386814101</v>
      </c>
      <c r="P437">
        <v>0.31265074014663702</v>
      </c>
      <c r="Q437">
        <v>2.0157437324523899</v>
      </c>
      <c r="R437">
        <v>2017</v>
      </c>
    </row>
    <row r="438" spans="3:18" x14ac:dyDescent="0.35">
      <c r="C438" t="s">
        <v>153</v>
      </c>
      <c r="E438">
        <v>120</v>
      </c>
      <c r="F438">
        <v>4.4400000572204599</v>
      </c>
      <c r="H438">
        <v>4.5534471923112898</v>
      </c>
      <c r="I438">
        <v>4.3265529221296299</v>
      </c>
      <c r="J438">
        <v>1.0098501443862899</v>
      </c>
      <c r="K438">
        <v>1.25997638702393</v>
      </c>
      <c r="M438">
        <v>0.62513083219528198</v>
      </c>
      <c r="N438">
        <v>0.56121325492858898</v>
      </c>
      <c r="O438">
        <v>7.36539661884308E-2</v>
      </c>
      <c r="P438">
        <v>0.49086356163024902</v>
      </c>
      <c r="Q438">
        <v>0.419389247894287</v>
      </c>
      <c r="R438">
        <v>2017</v>
      </c>
    </row>
    <row r="439" spans="3:18" x14ac:dyDescent="0.35">
      <c r="C439" t="s">
        <v>148</v>
      </c>
      <c r="E439">
        <v>121</v>
      </c>
      <c r="F439">
        <v>4.3759999275207502</v>
      </c>
      <c r="H439">
        <v>4.46673461228609</v>
      </c>
      <c r="I439">
        <v>4.2852652427554103</v>
      </c>
      <c r="J439">
        <v>0.90059673786163297</v>
      </c>
      <c r="K439">
        <v>1.0074837207794201</v>
      </c>
      <c r="M439">
        <v>0.63752442598342896</v>
      </c>
      <c r="N439">
        <v>0.198303267359734</v>
      </c>
      <c r="O439">
        <v>2.66744215041399E-2</v>
      </c>
      <c r="P439">
        <v>8.3488091826438904E-2</v>
      </c>
      <c r="Q439">
        <v>1.5214991569519001</v>
      </c>
      <c r="R439">
        <v>2017</v>
      </c>
    </row>
    <row r="440" spans="3:18" x14ac:dyDescent="0.35">
      <c r="C440" t="s">
        <v>138</v>
      </c>
      <c r="E440">
        <v>122</v>
      </c>
      <c r="F440">
        <v>4.3150000572204599</v>
      </c>
      <c r="H440">
        <v>4.3715220174938398</v>
      </c>
      <c r="I440">
        <v>4.2584780969470701</v>
      </c>
      <c r="J440">
        <v>0.79222124814987205</v>
      </c>
      <c r="K440">
        <v>0.75437259674072299</v>
      </c>
      <c r="M440">
        <v>0.455427616834641</v>
      </c>
      <c r="N440">
        <v>0.46998700499534601</v>
      </c>
      <c r="O440">
        <v>9.22268852591515E-2</v>
      </c>
      <c r="P440">
        <v>0.23153848946094499</v>
      </c>
      <c r="Q440">
        <v>1.5191171169280999</v>
      </c>
      <c r="R440">
        <v>2017</v>
      </c>
    </row>
    <row r="441" spans="3:18" x14ac:dyDescent="0.35">
      <c r="C441" t="s">
        <v>145</v>
      </c>
      <c r="E441">
        <v>123</v>
      </c>
      <c r="F441">
        <v>4.2919998168945304</v>
      </c>
      <c r="H441">
        <v>4.3771636162698302</v>
      </c>
      <c r="I441">
        <v>4.2068360175192403</v>
      </c>
      <c r="J441">
        <v>0.64845728874206499</v>
      </c>
      <c r="K441">
        <v>1.2720308303832999</v>
      </c>
      <c r="M441">
        <v>0.28534927964210499</v>
      </c>
      <c r="N441">
        <v>9.6098043024539906E-2</v>
      </c>
      <c r="O441">
        <v>0.13695700466632801</v>
      </c>
      <c r="P441">
        <v>0.20187002420425401</v>
      </c>
      <c r="Q441">
        <v>1.6516373157501201</v>
      </c>
      <c r="R441">
        <v>2017</v>
      </c>
    </row>
    <row r="442" spans="3:18" x14ac:dyDescent="0.35">
      <c r="C442" t="s">
        <v>160</v>
      </c>
      <c r="E442">
        <v>124</v>
      </c>
      <c r="F442">
        <v>4.2909998893737802</v>
      </c>
      <c r="H442">
        <v>4.4100535050034502</v>
      </c>
      <c r="I442">
        <v>4.1719462737441102</v>
      </c>
      <c r="J442">
        <v>0.80896425247192405</v>
      </c>
      <c r="K442">
        <v>0.83204436302185103</v>
      </c>
      <c r="M442">
        <v>0.28995743393897999</v>
      </c>
      <c r="N442">
        <v>0.43502587080001798</v>
      </c>
      <c r="O442">
        <v>7.9618133604526506E-2</v>
      </c>
      <c r="P442">
        <v>0.120852127671242</v>
      </c>
      <c r="Q442">
        <v>1.7241356372833301</v>
      </c>
      <c r="R442">
        <v>2017</v>
      </c>
    </row>
    <row r="443" spans="3:18" x14ac:dyDescent="0.35">
      <c r="C443" t="s">
        <v>151</v>
      </c>
      <c r="E443">
        <v>125</v>
      </c>
      <c r="F443">
        <v>4.2859997749328604</v>
      </c>
      <c r="H443">
        <v>4.3749339658021897</v>
      </c>
      <c r="I443">
        <v>4.1970655840635303</v>
      </c>
      <c r="J443">
        <v>0.95061266422271695</v>
      </c>
      <c r="K443">
        <v>0.57061493396759</v>
      </c>
      <c r="M443">
        <v>0.64954698085784901</v>
      </c>
      <c r="N443">
        <v>0.30941003561019897</v>
      </c>
      <c r="O443">
        <v>0.25166663527488697</v>
      </c>
      <c r="P443">
        <v>5.4008815437555299E-2</v>
      </c>
      <c r="Q443">
        <v>1.50013780593872</v>
      </c>
      <c r="R443">
        <v>2017</v>
      </c>
    </row>
    <row r="444" spans="3:18" x14ac:dyDescent="0.35">
      <c r="C444" t="s">
        <v>141</v>
      </c>
      <c r="E444">
        <v>126</v>
      </c>
      <c r="F444">
        <v>4.2800002098083496</v>
      </c>
      <c r="H444">
        <v>4.3578108327090703</v>
      </c>
      <c r="I444">
        <v>4.2021895869076298</v>
      </c>
      <c r="J444">
        <v>9.2102348804473905E-2</v>
      </c>
      <c r="K444">
        <v>1.2290234565734901</v>
      </c>
      <c r="M444">
        <v>0.191407024860382</v>
      </c>
      <c r="N444">
        <v>0.23596134781837499</v>
      </c>
      <c r="O444">
        <v>6.02413564920425E-2</v>
      </c>
      <c r="P444">
        <v>0.246455833315849</v>
      </c>
      <c r="Q444">
        <v>2.2249586582183798</v>
      </c>
      <c r="R444">
        <v>2017</v>
      </c>
    </row>
    <row r="445" spans="3:18" x14ac:dyDescent="0.35">
      <c r="C445" t="s">
        <v>159</v>
      </c>
      <c r="E445">
        <v>127</v>
      </c>
      <c r="F445">
        <v>4.1900000572204599</v>
      </c>
      <c r="H445">
        <v>4.26967071101069</v>
      </c>
      <c r="I445">
        <v>4.11032940343022</v>
      </c>
      <c r="J445">
        <v>0.47618049383163502</v>
      </c>
      <c r="K445">
        <v>1.2814733982086199</v>
      </c>
      <c r="M445">
        <v>0.169365674257278</v>
      </c>
      <c r="N445">
        <v>0.30661374330520602</v>
      </c>
      <c r="O445">
        <v>0.10497024655342101</v>
      </c>
      <c r="P445">
        <v>0.18335419893264801</v>
      </c>
      <c r="Q445">
        <v>1.66819095611572</v>
      </c>
      <c r="R445">
        <v>2017</v>
      </c>
    </row>
    <row r="446" spans="3:18" x14ac:dyDescent="0.35">
      <c r="C446" t="s">
        <v>172</v>
      </c>
      <c r="E446">
        <v>128</v>
      </c>
      <c r="F446">
        <v>4.1799998283386204</v>
      </c>
      <c r="H446">
        <v>4.2751825632154903</v>
      </c>
      <c r="I446">
        <v>4.0848170934617496</v>
      </c>
      <c r="J446">
        <v>0.60304892063140902</v>
      </c>
      <c r="K446">
        <v>0.90478003025054898</v>
      </c>
      <c r="M446">
        <v>4.8642169684171697E-2</v>
      </c>
      <c r="N446">
        <v>0.44770619273185702</v>
      </c>
      <c r="O446">
        <v>0.130061775445938</v>
      </c>
      <c r="P446">
        <v>0.20123746991157501</v>
      </c>
      <c r="Q446">
        <v>1.84496426582336</v>
      </c>
      <c r="R446">
        <v>2017</v>
      </c>
    </row>
    <row r="447" spans="3:18" x14ac:dyDescent="0.35">
      <c r="C447" t="s">
        <v>166</v>
      </c>
      <c r="E447">
        <v>129</v>
      </c>
      <c r="F447">
        <v>4.1680002212524396</v>
      </c>
      <c r="H447">
        <v>4.27851781353354</v>
      </c>
      <c r="I447">
        <v>4.0574826289713402</v>
      </c>
      <c r="J447">
        <v>0.601765096187592</v>
      </c>
      <c r="K447">
        <v>1.0062383413314799</v>
      </c>
      <c r="M447">
        <v>0.42978340387344399</v>
      </c>
      <c r="N447">
        <v>0.63337582349777199</v>
      </c>
      <c r="O447">
        <v>6.8105950951576205E-2</v>
      </c>
      <c r="P447">
        <v>0.38592296838760398</v>
      </c>
      <c r="Q447">
        <v>1.04294109344482</v>
      </c>
      <c r="R447">
        <v>2017</v>
      </c>
    </row>
    <row r="448" spans="3:18" x14ac:dyDescent="0.35">
      <c r="C448" t="s">
        <v>139</v>
      </c>
      <c r="E448">
        <v>130</v>
      </c>
      <c r="F448">
        <v>4.1389999389648402</v>
      </c>
      <c r="H448">
        <v>4.3457471650838899</v>
      </c>
      <c r="I448">
        <v>3.9322527128457998</v>
      </c>
      <c r="J448">
        <v>0.65951669216155995</v>
      </c>
      <c r="K448">
        <v>1.2140085697174099</v>
      </c>
      <c r="M448">
        <v>0.29092082381248502</v>
      </c>
      <c r="N448">
        <v>1.49958552792668E-2</v>
      </c>
      <c r="O448">
        <v>8.9847519993782002E-2</v>
      </c>
      <c r="P448">
        <v>0.182317450642586</v>
      </c>
      <c r="Q448">
        <v>1.6870658397674601</v>
      </c>
      <c r="R448">
        <v>2017</v>
      </c>
    </row>
    <row r="449" spans="3:18" x14ac:dyDescent="0.35">
      <c r="C449" t="s">
        <v>135</v>
      </c>
      <c r="E449">
        <v>131</v>
      </c>
      <c r="F449">
        <v>4.1199998855590803</v>
      </c>
      <c r="H449">
        <v>4.22270720854402</v>
      </c>
      <c r="I449">
        <v>4.0172925625741502</v>
      </c>
      <c r="J449">
        <v>0.66722482442855802</v>
      </c>
      <c r="K449">
        <v>0.87366473674774203</v>
      </c>
      <c r="M449">
        <v>0.295637726783752</v>
      </c>
      <c r="N449">
        <v>0.423026293516159</v>
      </c>
      <c r="O449">
        <v>2.5336369872093201E-2</v>
      </c>
      <c r="P449">
        <v>0.25692394375801098</v>
      </c>
      <c r="Q449">
        <v>1.5778675079345701</v>
      </c>
      <c r="R449">
        <v>2017</v>
      </c>
    </row>
    <row r="450" spans="3:18" x14ac:dyDescent="0.35">
      <c r="C450" t="s">
        <v>132</v>
      </c>
      <c r="E450">
        <v>132</v>
      </c>
      <c r="F450">
        <v>4.0960001945495597</v>
      </c>
      <c r="H450">
        <v>4.1854101045429699</v>
      </c>
      <c r="I450">
        <v>4.0065902845561503</v>
      </c>
      <c r="J450">
        <v>0.89465194940567005</v>
      </c>
      <c r="K450">
        <v>1.39453756809235</v>
      </c>
      <c r="M450">
        <v>0.57590395212173495</v>
      </c>
      <c r="N450">
        <v>0.122974775731564</v>
      </c>
      <c r="O450">
        <v>2.3029470816254598E-2</v>
      </c>
      <c r="P450">
        <v>0.27006146311759899</v>
      </c>
      <c r="Q450">
        <v>0.81438231468200695</v>
      </c>
      <c r="R450">
        <v>2017</v>
      </c>
    </row>
    <row r="451" spans="3:18" x14ac:dyDescent="0.35">
      <c r="C451" t="s">
        <v>162</v>
      </c>
      <c r="E451">
        <v>133</v>
      </c>
      <c r="F451">
        <v>4.0809998512268102</v>
      </c>
      <c r="H451">
        <v>4.1957999670505499</v>
      </c>
      <c r="I451">
        <v>3.9661997354030598</v>
      </c>
      <c r="J451">
        <v>0.38143071532249501</v>
      </c>
      <c r="K451">
        <v>1.12982773780823</v>
      </c>
      <c r="M451">
        <v>0.217632606625557</v>
      </c>
      <c r="N451">
        <v>0.443185955286026</v>
      </c>
      <c r="O451">
        <v>5.7069718837738002E-2</v>
      </c>
      <c r="P451">
        <v>0.32576605677604697</v>
      </c>
      <c r="Q451">
        <v>1.526362657547</v>
      </c>
      <c r="R451">
        <v>2017</v>
      </c>
    </row>
    <row r="452" spans="3:18" x14ac:dyDescent="0.35">
      <c r="C452" t="s">
        <v>173</v>
      </c>
      <c r="E452">
        <v>134</v>
      </c>
      <c r="F452">
        <v>4.03200006484985</v>
      </c>
      <c r="H452">
        <v>4.1240590643882804</v>
      </c>
      <c r="I452">
        <v>3.9399410653114302</v>
      </c>
      <c r="J452">
        <v>0.35022771358490001</v>
      </c>
      <c r="K452">
        <v>1.04328000545502</v>
      </c>
      <c r="M452">
        <v>0.21584425866603901</v>
      </c>
      <c r="N452">
        <v>0.32436785101890597</v>
      </c>
      <c r="O452">
        <v>0.120328105986118</v>
      </c>
      <c r="P452">
        <v>0.25086468458175698</v>
      </c>
      <c r="Q452">
        <v>1.72721290588379</v>
      </c>
      <c r="R452">
        <v>2017</v>
      </c>
    </row>
    <row r="453" spans="3:18" x14ac:dyDescent="0.35">
      <c r="C453" t="s">
        <v>165</v>
      </c>
      <c r="E453">
        <v>135</v>
      </c>
      <c r="F453">
        <v>4.0279998779296902</v>
      </c>
      <c r="H453">
        <v>4.1119468197226503</v>
      </c>
      <c r="I453">
        <v>3.9440529361367198</v>
      </c>
      <c r="J453">
        <v>0.16192533075809501</v>
      </c>
      <c r="K453">
        <v>0.99302500486373901</v>
      </c>
      <c r="M453">
        <v>0.26850500702857999</v>
      </c>
      <c r="N453">
        <v>0.36365869641303999</v>
      </c>
      <c r="O453">
        <v>0.13857294619083399</v>
      </c>
      <c r="P453">
        <v>0.228673845529556</v>
      </c>
      <c r="Q453">
        <v>1.87398338317871</v>
      </c>
      <c r="R453">
        <v>2017</v>
      </c>
    </row>
    <row r="454" spans="3:18" x14ac:dyDescent="0.35">
      <c r="C454" t="s">
        <v>152</v>
      </c>
      <c r="E454">
        <v>136</v>
      </c>
      <c r="F454">
        <v>3.9700000286102299</v>
      </c>
      <c r="H454">
        <v>4.0774788174033203</v>
      </c>
      <c r="I454">
        <v>3.86252123981714</v>
      </c>
      <c r="J454">
        <v>0.233442038297653</v>
      </c>
      <c r="K454">
        <v>0.51256883144378695</v>
      </c>
      <c r="M454">
        <v>0.31508958339691201</v>
      </c>
      <c r="N454">
        <v>0.46691465377807601</v>
      </c>
      <c r="O454">
        <v>7.2711654007434803E-2</v>
      </c>
      <c r="P454">
        <v>0.287170469760895</v>
      </c>
      <c r="Q454">
        <v>2.08178615570068</v>
      </c>
      <c r="R454">
        <v>2017</v>
      </c>
    </row>
    <row r="455" spans="3:18" x14ac:dyDescent="0.35">
      <c r="C455" t="s">
        <v>170</v>
      </c>
      <c r="E455">
        <v>137</v>
      </c>
      <c r="F455">
        <v>3.9360001087188698</v>
      </c>
      <c r="H455">
        <v>4.0347115239500999</v>
      </c>
      <c r="I455">
        <v>3.8372886934876398</v>
      </c>
      <c r="J455">
        <v>0.43801298737525901</v>
      </c>
      <c r="K455">
        <v>0.95385587215423595</v>
      </c>
      <c r="M455">
        <v>4.1134715080261203E-2</v>
      </c>
      <c r="N455">
        <v>0.16234202682971999</v>
      </c>
      <c r="O455">
        <v>5.3581882268190398E-2</v>
      </c>
      <c r="P455">
        <v>0.21611385047435799</v>
      </c>
      <c r="Q455">
        <v>2.07123804092407</v>
      </c>
      <c r="R455">
        <v>2017</v>
      </c>
    </row>
    <row r="456" spans="3:18" x14ac:dyDescent="0.35">
      <c r="C456" t="s">
        <v>136</v>
      </c>
      <c r="E456">
        <v>138</v>
      </c>
      <c r="F456">
        <v>3.875</v>
      </c>
      <c r="H456">
        <v>3.97869964271784</v>
      </c>
      <c r="I456">
        <v>3.77130035728216</v>
      </c>
      <c r="J456">
        <v>0.37584653496742199</v>
      </c>
      <c r="K456">
        <v>1.08309590816498</v>
      </c>
      <c r="M456">
        <v>0.19676375389099099</v>
      </c>
      <c r="N456">
        <v>0.336384207010269</v>
      </c>
      <c r="O456">
        <v>9.5375381410121904E-2</v>
      </c>
      <c r="P456">
        <v>0.18914349377155301</v>
      </c>
      <c r="Q456">
        <v>1.5979702472686801</v>
      </c>
      <c r="R456">
        <v>2017</v>
      </c>
    </row>
    <row r="457" spans="3:18" x14ac:dyDescent="0.35">
      <c r="C457" t="s">
        <v>118</v>
      </c>
      <c r="E457">
        <v>139</v>
      </c>
      <c r="F457">
        <v>3.8080000877380402</v>
      </c>
      <c r="H457">
        <v>4.0443439754843702</v>
      </c>
      <c r="I457">
        <v>3.5716561999917</v>
      </c>
      <c r="J457">
        <v>0.52102124691009499</v>
      </c>
      <c r="K457">
        <v>1.1900951862335201</v>
      </c>
      <c r="M457">
        <v>0</v>
      </c>
      <c r="N457">
        <v>0.39066129922866799</v>
      </c>
      <c r="O457">
        <v>0.11909464001655599</v>
      </c>
      <c r="P457">
        <v>0.15749727189540899</v>
      </c>
      <c r="Q457">
        <v>1.4298353195190401</v>
      </c>
      <c r="R457">
        <v>2017</v>
      </c>
    </row>
    <row r="458" spans="3:18" x14ac:dyDescent="0.35">
      <c r="C458" t="s">
        <v>158</v>
      </c>
      <c r="E458">
        <v>140</v>
      </c>
      <c r="F458">
        <v>3.7950000762939502</v>
      </c>
      <c r="H458">
        <v>3.9516419354081198</v>
      </c>
      <c r="I458">
        <v>3.6383582171797801</v>
      </c>
      <c r="J458">
        <v>0.85842818021774303</v>
      </c>
      <c r="K458">
        <v>1.1044119596481301</v>
      </c>
      <c r="M458">
        <v>4.9868665635585799E-2</v>
      </c>
      <c r="N458">
        <v>0</v>
      </c>
      <c r="O458">
        <v>6.9720335304737105E-2</v>
      </c>
      <c r="P458">
        <v>9.7926490008830996E-2</v>
      </c>
      <c r="Q458">
        <v>1.6144824028015099</v>
      </c>
      <c r="R458">
        <v>2017</v>
      </c>
    </row>
    <row r="459" spans="3:18" x14ac:dyDescent="0.35">
      <c r="C459" t="s">
        <v>174</v>
      </c>
      <c r="E459">
        <v>141</v>
      </c>
      <c r="F459">
        <v>3.7939999103546098</v>
      </c>
      <c r="H459">
        <v>3.8736614152789102</v>
      </c>
      <c r="I459">
        <v>3.7143384054303201</v>
      </c>
      <c r="J459">
        <v>0.40147721767425498</v>
      </c>
      <c r="K459">
        <v>0.58154332637786899</v>
      </c>
      <c r="M459">
        <v>0.18074677884578699</v>
      </c>
      <c r="N459">
        <v>0.10617952048778501</v>
      </c>
      <c r="O459">
        <v>6.1157830059528399E-2</v>
      </c>
      <c r="P459">
        <v>0.31187093257904103</v>
      </c>
      <c r="Q459">
        <v>2.1508011817932098</v>
      </c>
      <c r="R459">
        <v>2017</v>
      </c>
    </row>
    <row r="460" spans="3:18" x14ac:dyDescent="0.35">
      <c r="C460" t="s">
        <v>149</v>
      </c>
      <c r="E460">
        <v>142</v>
      </c>
      <c r="F460">
        <v>3.7660000324249299</v>
      </c>
      <c r="H460">
        <v>3.8741226662695398</v>
      </c>
      <c r="I460">
        <v>3.6578773985803101</v>
      </c>
      <c r="J460">
        <v>1.1220941543579099</v>
      </c>
      <c r="K460">
        <v>1.2215549945831301</v>
      </c>
      <c r="M460">
        <v>0.34175550937652599</v>
      </c>
      <c r="N460">
        <v>0.505196332931519</v>
      </c>
      <c r="O460">
        <v>9.8583199083805098E-2</v>
      </c>
      <c r="P460">
        <v>9.9348448216915103E-2</v>
      </c>
      <c r="Q460">
        <v>0.37791371345519997</v>
      </c>
      <c r="R460">
        <v>2017</v>
      </c>
    </row>
    <row r="461" spans="3:18" x14ac:dyDescent="0.35">
      <c r="C461" t="s">
        <v>176</v>
      </c>
      <c r="E461">
        <v>143</v>
      </c>
      <c r="F461">
        <v>3.65700006484985</v>
      </c>
      <c r="H461">
        <v>3.7457835513353301</v>
      </c>
      <c r="I461">
        <v>3.5682165783643698</v>
      </c>
      <c r="J461">
        <v>0.43108540773391701</v>
      </c>
      <c r="K461">
        <v>0.435299843549728</v>
      </c>
      <c r="M461">
        <v>0.20993021130561801</v>
      </c>
      <c r="N461">
        <v>0.42596277594566301</v>
      </c>
      <c r="O461">
        <v>6.0929015278816202E-2</v>
      </c>
      <c r="P461">
        <v>0.20794846117496499</v>
      </c>
      <c r="Q461">
        <v>1.88563096523285</v>
      </c>
      <c r="R461">
        <v>2017</v>
      </c>
    </row>
    <row r="462" spans="3:18" x14ac:dyDescent="0.35">
      <c r="C462" t="s">
        <v>168</v>
      </c>
      <c r="E462">
        <v>144</v>
      </c>
      <c r="F462">
        <v>3.6440000534057599</v>
      </c>
      <c r="H462">
        <v>3.7143191058933702</v>
      </c>
      <c r="I462">
        <v>3.5736810009181501</v>
      </c>
      <c r="J462">
        <v>0.30580869317054699</v>
      </c>
      <c r="K462">
        <v>0.91302037239074696</v>
      </c>
      <c r="M462">
        <v>0.375223308801651</v>
      </c>
      <c r="N462">
        <v>0.18919676542282099</v>
      </c>
      <c r="O462">
        <v>6.7231975495815305E-2</v>
      </c>
      <c r="P462">
        <v>0.208732530474663</v>
      </c>
      <c r="Q462">
        <v>1.58461260795593</v>
      </c>
      <c r="R462">
        <v>2017</v>
      </c>
    </row>
    <row r="463" spans="3:18" x14ac:dyDescent="0.35">
      <c r="C463" t="s">
        <v>140</v>
      </c>
      <c r="E463">
        <v>145</v>
      </c>
      <c r="F463">
        <v>3.6029999256134002</v>
      </c>
      <c r="H463">
        <v>3.7347147977352102</v>
      </c>
      <c r="I463">
        <v>3.4712850534915898</v>
      </c>
      <c r="J463">
        <v>0.36861026287078902</v>
      </c>
      <c r="K463">
        <v>0.64044982194900502</v>
      </c>
      <c r="M463">
        <v>0.27732113003730802</v>
      </c>
      <c r="N463">
        <v>3.0369857326149899E-2</v>
      </c>
      <c r="O463">
        <v>9.9872149527072906E-2</v>
      </c>
      <c r="P463">
        <v>0.489203780889511</v>
      </c>
      <c r="Q463">
        <v>1.6971676349639899</v>
      </c>
      <c r="R463">
        <v>2017</v>
      </c>
    </row>
    <row r="464" spans="3:18" x14ac:dyDescent="0.35">
      <c r="C464" t="s">
        <v>157</v>
      </c>
      <c r="E464">
        <v>146</v>
      </c>
      <c r="F464">
        <v>3.59299993515015</v>
      </c>
      <c r="H464">
        <v>3.6927503198385199</v>
      </c>
      <c r="I464">
        <v>3.49324955046177</v>
      </c>
      <c r="J464">
        <v>0.59168344736099199</v>
      </c>
      <c r="K464">
        <v>0.93538224697113004</v>
      </c>
      <c r="M464">
        <v>0.310080915689468</v>
      </c>
      <c r="N464">
        <v>0.24946372210979501</v>
      </c>
      <c r="O464">
        <v>5.67674227058887E-2</v>
      </c>
      <c r="P464">
        <v>0.104125209152699</v>
      </c>
      <c r="Q464">
        <v>1.3456006050109901</v>
      </c>
      <c r="R464">
        <v>2017</v>
      </c>
    </row>
    <row r="465" spans="3:18" x14ac:dyDescent="0.35">
      <c r="C465" t="s">
        <v>212</v>
      </c>
      <c r="E465">
        <v>147</v>
      </c>
      <c r="F465">
        <v>3.5910000801086399</v>
      </c>
      <c r="H465">
        <v>3.7255385857820502</v>
      </c>
      <c r="I465">
        <v>3.4564615744352301</v>
      </c>
      <c r="J465">
        <v>0.39724862575531</v>
      </c>
      <c r="K465">
        <v>0.60132312774658203</v>
      </c>
      <c r="M465">
        <v>0.16348600387573201</v>
      </c>
      <c r="N465">
        <v>0.14706243574619299</v>
      </c>
      <c r="O465">
        <v>0.116793513298035</v>
      </c>
      <c r="P465">
        <v>0.285670816898346</v>
      </c>
      <c r="Q465">
        <v>1.87956738471985</v>
      </c>
      <c r="R465">
        <v>2017</v>
      </c>
    </row>
    <row r="466" spans="3:18" x14ac:dyDescent="0.35">
      <c r="C466" t="s">
        <v>137</v>
      </c>
      <c r="E466">
        <v>148</v>
      </c>
      <c r="F466">
        <v>3.5329999923706099</v>
      </c>
      <c r="H466">
        <v>3.6537562608718899</v>
      </c>
      <c r="I466">
        <v>3.4122437238693202</v>
      </c>
      <c r="J466">
        <v>0.119041793048382</v>
      </c>
      <c r="K466">
        <v>0.87211793661117598</v>
      </c>
      <c r="M466">
        <v>0.22991819679737099</v>
      </c>
      <c r="N466">
        <v>0.33288118243217502</v>
      </c>
      <c r="O466">
        <v>3.8948249071836499E-2</v>
      </c>
      <c r="P466">
        <v>0.26654988527298001</v>
      </c>
      <c r="Q466">
        <v>1.6732859611511199</v>
      </c>
      <c r="R466">
        <v>2017</v>
      </c>
    </row>
    <row r="467" spans="3:18" x14ac:dyDescent="0.35">
      <c r="C467" t="s">
        <v>171</v>
      </c>
      <c r="E467">
        <v>149</v>
      </c>
      <c r="F467">
        <v>3.5069999694824201</v>
      </c>
      <c r="H467">
        <v>3.5844281288981401</v>
      </c>
      <c r="I467">
        <v>3.4295718100667001</v>
      </c>
      <c r="J467">
        <v>0.244549930095673</v>
      </c>
      <c r="K467">
        <v>0.79124468564987205</v>
      </c>
      <c r="M467">
        <v>0.194129139184952</v>
      </c>
      <c r="N467">
        <v>0.34858751296997098</v>
      </c>
      <c r="O467">
        <v>0.110937617719173</v>
      </c>
      <c r="P467">
        <v>0.26481509208679199</v>
      </c>
      <c r="Q467">
        <v>1.55231189727783</v>
      </c>
      <c r="R467">
        <v>2017</v>
      </c>
    </row>
    <row r="468" spans="3:18" x14ac:dyDescent="0.35">
      <c r="C468" t="s">
        <v>179</v>
      </c>
      <c r="E468">
        <v>150</v>
      </c>
      <c r="F468">
        <v>3.4949998855590798</v>
      </c>
      <c r="H468">
        <v>3.5940381117165101</v>
      </c>
      <c r="I468">
        <v>3.3959616594016602</v>
      </c>
      <c r="J468">
        <v>0.30544471740722701</v>
      </c>
      <c r="K468">
        <v>0.43188253045082098</v>
      </c>
      <c r="M468">
        <v>0.247105568647385</v>
      </c>
      <c r="N468">
        <v>0.38042613863945002</v>
      </c>
      <c r="O468">
        <v>9.5665015280246707E-2</v>
      </c>
      <c r="P468">
        <v>0.19689615070819899</v>
      </c>
      <c r="Q468">
        <v>1.83722925186157</v>
      </c>
      <c r="R468">
        <v>2017</v>
      </c>
    </row>
    <row r="469" spans="3:18" x14ac:dyDescent="0.35">
      <c r="C469" t="s">
        <v>175</v>
      </c>
      <c r="E469">
        <v>151</v>
      </c>
      <c r="F469">
        <v>3.4709999561309801</v>
      </c>
      <c r="H469">
        <v>3.5430302335321899</v>
      </c>
      <c r="I469">
        <v>3.3989696787297698</v>
      </c>
      <c r="J469">
        <v>0.36874589323997498</v>
      </c>
      <c r="K469">
        <v>0.94570702314376798</v>
      </c>
      <c r="M469">
        <v>0.32642480731010398</v>
      </c>
      <c r="N469">
        <v>0.58184385299682595</v>
      </c>
      <c r="O469">
        <v>0.45522001385688798</v>
      </c>
      <c r="P469">
        <v>0.25275602936744701</v>
      </c>
      <c r="Q469">
        <v>0.540061235427856</v>
      </c>
      <c r="R469">
        <v>2017</v>
      </c>
    </row>
    <row r="470" spans="3:18" x14ac:dyDescent="0.35">
      <c r="C470" t="s">
        <v>177</v>
      </c>
      <c r="E470">
        <v>152</v>
      </c>
      <c r="F470">
        <v>3.4619998931884801</v>
      </c>
      <c r="H470">
        <v>3.66366855680943</v>
      </c>
      <c r="I470">
        <v>3.2603312295675302</v>
      </c>
      <c r="J470">
        <v>0.77715313434600797</v>
      </c>
      <c r="K470">
        <v>0.39610260725021401</v>
      </c>
      <c r="M470">
        <v>0.50053334236144997</v>
      </c>
      <c r="N470">
        <v>8.1539444625377697E-2</v>
      </c>
      <c r="O470">
        <v>0.151347130537033</v>
      </c>
      <c r="P470">
        <v>0.49366372823715199</v>
      </c>
      <c r="Q470">
        <v>1.06157350540161</v>
      </c>
      <c r="R470">
        <v>2017</v>
      </c>
    </row>
    <row r="471" spans="3:18" x14ac:dyDescent="0.35">
      <c r="C471" t="s">
        <v>167</v>
      </c>
      <c r="E471">
        <v>153</v>
      </c>
      <c r="F471">
        <v>3.34899997711182</v>
      </c>
      <c r="H471">
        <v>3.4614297553896902</v>
      </c>
      <c r="I471">
        <v>3.2365701988339399</v>
      </c>
      <c r="J471">
        <v>0.51113587617874101</v>
      </c>
      <c r="K471">
        <v>1.0419898033142101</v>
      </c>
      <c r="M471">
        <v>0.36450928449630698</v>
      </c>
      <c r="N471">
        <v>0.39001777768135099</v>
      </c>
      <c r="O471">
        <v>6.6035106778144795E-2</v>
      </c>
      <c r="P471">
        <v>0.354256361722946</v>
      </c>
      <c r="Q471">
        <v>0.62113046646118197</v>
      </c>
      <c r="R471">
        <v>2017</v>
      </c>
    </row>
    <row r="472" spans="3:18" x14ac:dyDescent="0.35">
      <c r="C472" t="s">
        <v>178</v>
      </c>
      <c r="E472">
        <v>154</v>
      </c>
      <c r="F472">
        <v>2.9049999713897701</v>
      </c>
      <c r="H472">
        <v>3.0746903330087698</v>
      </c>
      <c r="I472">
        <v>2.7353096097707699</v>
      </c>
      <c r="J472">
        <v>9.1622568666934995E-2</v>
      </c>
      <c r="K472">
        <v>0.62979358434677102</v>
      </c>
      <c r="M472">
        <v>0.15161079168319699</v>
      </c>
      <c r="N472">
        <v>5.9900753200054203E-2</v>
      </c>
      <c r="O472">
        <v>8.4147945046424893E-2</v>
      </c>
      <c r="P472">
        <v>0.204435184597969</v>
      </c>
      <c r="Q472">
        <v>1.6830241680145299</v>
      </c>
      <c r="R472">
        <v>2017</v>
      </c>
    </row>
    <row r="473" spans="3:18" x14ac:dyDescent="0.35">
      <c r="C473" t="s">
        <v>169</v>
      </c>
      <c r="E473">
        <v>155</v>
      </c>
      <c r="F473">
        <v>2.6930000782012899</v>
      </c>
      <c r="H473">
        <v>2.8648842692375198</v>
      </c>
      <c r="I473">
        <v>2.5211158871650698</v>
      </c>
      <c r="J473">
        <v>0</v>
      </c>
      <c r="K473">
        <v>0</v>
      </c>
      <c r="M473">
        <v>1.8772685900330498E-2</v>
      </c>
      <c r="N473">
        <v>0.270842045545578</v>
      </c>
      <c r="O473">
        <v>5.6565076112747199E-2</v>
      </c>
      <c r="P473">
        <v>0.28087648749351501</v>
      </c>
      <c r="Q473">
        <v>2.0660047531127899</v>
      </c>
      <c r="R473">
        <v>2017</v>
      </c>
    </row>
    <row r="474" spans="3:18" x14ac:dyDescent="0.35">
      <c r="C474" t="s">
        <v>19</v>
      </c>
      <c r="E474">
        <v>1</v>
      </c>
      <c r="F474">
        <v>7.6319999999999997</v>
      </c>
      <c r="J474">
        <v>1.3049999999999999</v>
      </c>
      <c r="L474">
        <v>1.5920000000000001</v>
      </c>
      <c r="M474">
        <v>0.874</v>
      </c>
      <c r="N474">
        <v>0.68100000000000005</v>
      </c>
      <c r="O474">
        <v>0.39300000000000002</v>
      </c>
      <c r="P474">
        <v>0.20200000000000001</v>
      </c>
      <c r="R474">
        <v>2018</v>
      </c>
    </row>
    <row r="475" spans="3:18" x14ac:dyDescent="0.35">
      <c r="C475" t="s">
        <v>16</v>
      </c>
      <c r="E475">
        <v>2</v>
      </c>
      <c r="F475">
        <v>7.5940000000000003</v>
      </c>
      <c r="J475">
        <v>1.456</v>
      </c>
      <c r="L475">
        <v>1.5820000000000001</v>
      </c>
      <c r="M475">
        <v>0.86099999999999999</v>
      </c>
      <c r="N475">
        <v>0.68600000000000005</v>
      </c>
      <c r="O475">
        <v>0.34</v>
      </c>
      <c r="P475">
        <v>0.28599999999999998</v>
      </c>
      <c r="R475">
        <v>2018</v>
      </c>
    </row>
    <row r="476" spans="3:18" x14ac:dyDescent="0.35">
      <c r="C476" t="s">
        <v>15</v>
      </c>
      <c r="E476">
        <v>3</v>
      </c>
      <c r="F476">
        <v>7.5549999999999997</v>
      </c>
      <c r="J476">
        <v>1.351</v>
      </c>
      <c r="L476">
        <v>1.59</v>
      </c>
      <c r="M476">
        <v>0.86799999999999999</v>
      </c>
      <c r="N476">
        <v>0.68300000000000005</v>
      </c>
      <c r="O476">
        <v>0.40799999999999997</v>
      </c>
      <c r="P476">
        <v>0.28399999999999997</v>
      </c>
      <c r="R476">
        <v>2018</v>
      </c>
    </row>
    <row r="477" spans="3:18" x14ac:dyDescent="0.35">
      <c r="C477" t="s">
        <v>14</v>
      </c>
      <c r="E477">
        <v>4</v>
      </c>
      <c r="F477">
        <v>7.4950000000000001</v>
      </c>
      <c r="J477">
        <v>1.343</v>
      </c>
      <c r="L477">
        <v>1.6439999999999999</v>
      </c>
      <c r="M477">
        <v>0.91400000000000003</v>
      </c>
      <c r="N477">
        <v>0.67700000000000005</v>
      </c>
      <c r="O477">
        <v>0.13800000000000001</v>
      </c>
      <c r="P477">
        <v>0.35299999999999998</v>
      </c>
      <c r="R477">
        <v>2018</v>
      </c>
    </row>
    <row r="478" spans="3:18" x14ac:dyDescent="0.35">
      <c r="C478" t="s">
        <v>12</v>
      </c>
      <c r="E478">
        <v>5</v>
      </c>
      <c r="F478">
        <v>7.4870000000000001</v>
      </c>
      <c r="J478">
        <v>1.42</v>
      </c>
      <c r="L478">
        <v>1.5489999999999999</v>
      </c>
      <c r="M478">
        <v>0.92700000000000005</v>
      </c>
      <c r="N478">
        <v>0.66</v>
      </c>
      <c r="O478">
        <v>0.35699999999999998</v>
      </c>
      <c r="P478">
        <v>0.25600000000000001</v>
      </c>
      <c r="R478">
        <v>2018</v>
      </c>
    </row>
    <row r="479" spans="3:18" x14ac:dyDescent="0.35">
      <c r="C479" t="s">
        <v>20</v>
      </c>
      <c r="E479">
        <v>6</v>
      </c>
      <c r="F479">
        <v>7.4409999999999998</v>
      </c>
      <c r="J479">
        <v>1.361</v>
      </c>
      <c r="L479">
        <v>1.488</v>
      </c>
      <c r="M479">
        <v>0.878</v>
      </c>
      <c r="N479">
        <v>0.63800000000000001</v>
      </c>
      <c r="O479">
        <v>0.29499999999999998</v>
      </c>
      <c r="P479">
        <v>0.33300000000000002</v>
      </c>
      <c r="R479">
        <v>2018</v>
      </c>
    </row>
    <row r="480" spans="3:18" x14ac:dyDescent="0.35">
      <c r="C480" t="s">
        <v>17</v>
      </c>
      <c r="E480">
        <v>7</v>
      </c>
      <c r="F480">
        <v>7.3280000000000003</v>
      </c>
      <c r="J480">
        <v>1.33</v>
      </c>
      <c r="L480">
        <v>1.532</v>
      </c>
      <c r="M480">
        <v>0.89600000000000002</v>
      </c>
      <c r="N480">
        <v>0.65300000000000002</v>
      </c>
      <c r="O480">
        <v>0.29099999999999998</v>
      </c>
      <c r="P480">
        <v>0.32100000000000001</v>
      </c>
      <c r="R480">
        <v>2018</v>
      </c>
    </row>
    <row r="481" spans="3:18" x14ac:dyDescent="0.35">
      <c r="C481" t="s">
        <v>22</v>
      </c>
      <c r="E481">
        <v>8</v>
      </c>
      <c r="F481">
        <v>7.3239999999999998</v>
      </c>
      <c r="J481">
        <v>1.268</v>
      </c>
      <c r="L481">
        <v>1.601</v>
      </c>
      <c r="M481">
        <v>0.876</v>
      </c>
      <c r="N481">
        <v>0.66900000000000004</v>
      </c>
      <c r="O481">
        <v>0.38900000000000001</v>
      </c>
      <c r="P481">
        <v>0.36499999999999999</v>
      </c>
      <c r="R481">
        <v>2018</v>
      </c>
    </row>
    <row r="482" spans="3:18" x14ac:dyDescent="0.35">
      <c r="C482" t="s">
        <v>21</v>
      </c>
      <c r="E482">
        <v>9</v>
      </c>
      <c r="F482">
        <v>7.3140000000000001</v>
      </c>
      <c r="J482">
        <v>1.355</v>
      </c>
      <c r="L482">
        <v>1.5009999999999999</v>
      </c>
      <c r="M482">
        <v>0.91300000000000003</v>
      </c>
      <c r="N482">
        <v>0.65900000000000003</v>
      </c>
      <c r="O482">
        <v>0.38300000000000001</v>
      </c>
      <c r="P482">
        <v>0.28499999999999998</v>
      </c>
      <c r="R482">
        <v>2018</v>
      </c>
    </row>
    <row r="483" spans="3:18" x14ac:dyDescent="0.35">
      <c r="C483" t="s">
        <v>24</v>
      </c>
      <c r="E483">
        <v>10</v>
      </c>
      <c r="F483">
        <v>7.2720000000000002</v>
      </c>
      <c r="J483">
        <v>1.34</v>
      </c>
      <c r="L483">
        <v>1.573</v>
      </c>
      <c r="M483">
        <v>0.91</v>
      </c>
      <c r="N483">
        <v>0.64700000000000002</v>
      </c>
      <c r="O483">
        <v>0.30199999999999999</v>
      </c>
      <c r="P483">
        <v>0.36099999999999999</v>
      </c>
      <c r="R483">
        <v>2018</v>
      </c>
    </row>
    <row r="484" spans="3:18" x14ac:dyDescent="0.35">
      <c r="C484" t="s">
        <v>37</v>
      </c>
      <c r="E484">
        <v>11</v>
      </c>
      <c r="F484">
        <v>7.19</v>
      </c>
      <c r="J484">
        <v>1.244</v>
      </c>
      <c r="L484">
        <v>1.4330000000000001</v>
      </c>
      <c r="M484">
        <v>0.88800000000000001</v>
      </c>
      <c r="N484">
        <v>0.46400000000000002</v>
      </c>
      <c r="O484">
        <v>8.2000000000000003E-2</v>
      </c>
      <c r="P484">
        <v>0.26200000000000001</v>
      </c>
      <c r="R484">
        <v>2018</v>
      </c>
    </row>
    <row r="485" spans="3:18" x14ac:dyDescent="0.35">
      <c r="C485" t="s">
        <v>29</v>
      </c>
      <c r="E485">
        <v>12</v>
      </c>
      <c r="F485">
        <v>7.1390000000000002</v>
      </c>
      <c r="J485">
        <v>1.341</v>
      </c>
      <c r="L485">
        <v>1.504</v>
      </c>
      <c r="M485">
        <v>0.89100000000000001</v>
      </c>
      <c r="N485">
        <v>0.61699999999999999</v>
      </c>
      <c r="O485">
        <v>0.224</v>
      </c>
      <c r="P485">
        <v>0.24199999999999999</v>
      </c>
      <c r="R485">
        <v>2018</v>
      </c>
    </row>
    <row r="486" spans="3:18" x14ac:dyDescent="0.35">
      <c r="C486" t="s">
        <v>27</v>
      </c>
      <c r="E486">
        <v>13</v>
      </c>
      <c r="F486">
        <v>7.0720000000000001</v>
      </c>
      <c r="J486">
        <v>1.01</v>
      </c>
      <c r="L486">
        <v>1.4590000000000001</v>
      </c>
      <c r="M486">
        <v>0.81699999999999995</v>
      </c>
      <c r="N486">
        <v>0.63200000000000001</v>
      </c>
      <c r="O486">
        <v>0.10100000000000001</v>
      </c>
      <c r="P486">
        <v>0.14299999999999999</v>
      </c>
      <c r="R486">
        <v>2018</v>
      </c>
    </row>
    <row r="487" spans="3:18" x14ac:dyDescent="0.35">
      <c r="C487" t="s">
        <v>34</v>
      </c>
      <c r="E487">
        <v>14</v>
      </c>
      <c r="F487">
        <v>6.9770000000000003</v>
      </c>
      <c r="J487">
        <v>1.448</v>
      </c>
      <c r="L487">
        <v>1.583</v>
      </c>
      <c r="M487">
        <v>0.876</v>
      </c>
      <c r="N487">
        <v>0.61399999999999999</v>
      </c>
      <c r="O487">
        <v>0.30599999999999999</v>
      </c>
      <c r="P487">
        <v>0.307</v>
      </c>
      <c r="R487">
        <v>2018</v>
      </c>
    </row>
    <row r="488" spans="3:18" x14ac:dyDescent="0.35">
      <c r="C488" t="s">
        <v>43</v>
      </c>
      <c r="E488">
        <v>15</v>
      </c>
      <c r="F488">
        <v>6.9649999999999999</v>
      </c>
      <c r="J488">
        <v>1.34</v>
      </c>
      <c r="L488">
        <v>1.474</v>
      </c>
      <c r="M488">
        <v>0.86099999999999999</v>
      </c>
      <c r="N488">
        <v>0.58599999999999997</v>
      </c>
      <c r="O488">
        <v>0.28000000000000003</v>
      </c>
      <c r="P488">
        <v>0.27300000000000002</v>
      </c>
      <c r="R488">
        <v>2018</v>
      </c>
    </row>
    <row r="489" spans="3:18" x14ac:dyDescent="0.35">
      <c r="C489" t="s">
        <v>35</v>
      </c>
      <c r="E489">
        <v>16</v>
      </c>
      <c r="F489">
        <v>6.9269999999999996</v>
      </c>
      <c r="J489">
        <v>1.3240000000000001</v>
      </c>
      <c r="L489">
        <v>1.4830000000000001</v>
      </c>
      <c r="M489">
        <v>0.89400000000000002</v>
      </c>
      <c r="N489">
        <v>0.58299999999999996</v>
      </c>
      <c r="O489">
        <v>0.24</v>
      </c>
      <c r="P489">
        <v>0.188</v>
      </c>
      <c r="R489">
        <v>2018</v>
      </c>
    </row>
    <row r="490" spans="3:18" x14ac:dyDescent="0.35">
      <c r="C490" t="s">
        <v>33</v>
      </c>
      <c r="E490">
        <v>17</v>
      </c>
      <c r="F490">
        <v>6.91</v>
      </c>
      <c r="J490">
        <v>1.5760000000000001</v>
      </c>
      <c r="L490">
        <v>1.52</v>
      </c>
      <c r="M490">
        <v>0.89600000000000002</v>
      </c>
      <c r="N490">
        <v>0.63200000000000001</v>
      </c>
      <c r="O490">
        <v>0.32100000000000001</v>
      </c>
      <c r="P490">
        <v>0.19600000000000001</v>
      </c>
      <c r="R490">
        <v>2018</v>
      </c>
    </row>
    <row r="491" spans="3:18" x14ac:dyDescent="0.35">
      <c r="C491" t="s">
        <v>31</v>
      </c>
      <c r="E491">
        <v>18</v>
      </c>
      <c r="F491">
        <v>6.8860000000000001</v>
      </c>
      <c r="J491">
        <v>1.3979999999999999</v>
      </c>
      <c r="L491">
        <v>1.4710000000000001</v>
      </c>
      <c r="M491">
        <v>0.81899999999999995</v>
      </c>
      <c r="N491">
        <v>0.54700000000000004</v>
      </c>
      <c r="O491">
        <v>0.13300000000000001</v>
      </c>
      <c r="P491">
        <v>0.29099999999999998</v>
      </c>
      <c r="R491">
        <v>2018</v>
      </c>
    </row>
    <row r="492" spans="3:18" x14ac:dyDescent="0.35">
      <c r="C492" t="s">
        <v>25</v>
      </c>
      <c r="E492">
        <v>19</v>
      </c>
      <c r="F492">
        <v>6.8140000000000001</v>
      </c>
      <c r="J492">
        <v>1.3009999999999999</v>
      </c>
      <c r="L492">
        <v>1.5589999999999999</v>
      </c>
      <c r="M492">
        <v>0.88300000000000001</v>
      </c>
      <c r="N492">
        <v>0.53300000000000003</v>
      </c>
      <c r="O492">
        <v>0.27200000000000002</v>
      </c>
      <c r="P492">
        <v>0.35399999999999998</v>
      </c>
      <c r="R492">
        <v>2018</v>
      </c>
    </row>
    <row r="493" spans="3:18" x14ac:dyDescent="0.35">
      <c r="C493" t="s">
        <v>36</v>
      </c>
      <c r="E493">
        <v>20</v>
      </c>
      <c r="F493">
        <v>6.774</v>
      </c>
      <c r="J493">
        <v>2.0960000000000001</v>
      </c>
      <c r="L493">
        <v>0.77600000000000002</v>
      </c>
      <c r="M493">
        <v>0.67</v>
      </c>
      <c r="N493">
        <v>0.28399999999999997</v>
      </c>
      <c r="O493" t="s">
        <v>231</v>
      </c>
      <c r="P493">
        <v>0.186</v>
      </c>
      <c r="R493">
        <v>2018</v>
      </c>
    </row>
    <row r="494" spans="3:18" x14ac:dyDescent="0.35">
      <c r="C494" t="s">
        <v>48</v>
      </c>
      <c r="E494">
        <v>21</v>
      </c>
      <c r="F494">
        <v>6.7110000000000003</v>
      </c>
      <c r="J494">
        <v>1.2330000000000001</v>
      </c>
      <c r="L494">
        <v>1.4890000000000001</v>
      </c>
      <c r="M494">
        <v>0.85399999999999998</v>
      </c>
      <c r="N494">
        <v>0.54300000000000004</v>
      </c>
      <c r="O494">
        <v>3.4000000000000002E-2</v>
      </c>
      <c r="P494">
        <v>6.4000000000000001E-2</v>
      </c>
      <c r="R494">
        <v>2018</v>
      </c>
    </row>
    <row r="495" spans="3:18" x14ac:dyDescent="0.35">
      <c r="C495" t="s">
        <v>55</v>
      </c>
      <c r="E495">
        <v>22</v>
      </c>
      <c r="F495">
        <v>6.6269999999999998</v>
      </c>
      <c r="J495">
        <v>1.27</v>
      </c>
      <c r="L495">
        <v>1.5249999999999999</v>
      </c>
      <c r="M495">
        <v>0.88400000000000001</v>
      </c>
      <c r="N495">
        <v>0.64500000000000002</v>
      </c>
      <c r="O495">
        <v>0.14199999999999999</v>
      </c>
      <c r="P495">
        <v>0.376</v>
      </c>
      <c r="R495">
        <v>2018</v>
      </c>
    </row>
    <row r="496" spans="3:18" x14ac:dyDescent="0.35">
      <c r="C496" t="s">
        <v>46</v>
      </c>
      <c r="E496">
        <v>23</v>
      </c>
      <c r="F496">
        <v>6.4889999999999999</v>
      </c>
      <c r="J496">
        <v>1.2929999999999999</v>
      </c>
      <c r="L496">
        <v>1.466</v>
      </c>
      <c r="M496">
        <v>0.90800000000000003</v>
      </c>
      <c r="N496">
        <v>0.52</v>
      </c>
      <c r="O496">
        <v>0.17599999999999999</v>
      </c>
      <c r="P496">
        <v>9.8000000000000004E-2</v>
      </c>
      <c r="R496">
        <v>2018</v>
      </c>
    </row>
    <row r="497" spans="3:18" x14ac:dyDescent="0.35">
      <c r="C497" t="s">
        <v>30</v>
      </c>
      <c r="E497">
        <v>24</v>
      </c>
      <c r="F497">
        <v>6.4880000000000004</v>
      </c>
      <c r="J497">
        <v>1.038</v>
      </c>
      <c r="L497">
        <v>1.252</v>
      </c>
      <c r="M497">
        <v>0.76100000000000001</v>
      </c>
      <c r="N497">
        <v>0.47899999999999998</v>
      </c>
      <c r="O497">
        <v>9.5000000000000001E-2</v>
      </c>
      <c r="P497">
        <v>6.9000000000000006E-2</v>
      </c>
      <c r="R497">
        <v>2018</v>
      </c>
    </row>
    <row r="498" spans="3:18" x14ac:dyDescent="0.35">
      <c r="C498" t="s">
        <v>44</v>
      </c>
      <c r="E498">
        <v>25</v>
      </c>
      <c r="F498">
        <v>6.476</v>
      </c>
      <c r="J498">
        <v>1.131</v>
      </c>
      <c r="L498">
        <v>1.331</v>
      </c>
      <c r="M498">
        <v>0.80800000000000005</v>
      </c>
      <c r="N498">
        <v>0.43099999999999999</v>
      </c>
      <c r="O498">
        <v>6.0999999999999999E-2</v>
      </c>
      <c r="P498">
        <v>0.19700000000000001</v>
      </c>
      <c r="R498">
        <v>2018</v>
      </c>
    </row>
    <row r="499" spans="3:18" x14ac:dyDescent="0.35">
      <c r="C499" t="s">
        <v>56</v>
      </c>
      <c r="E499">
        <v>26</v>
      </c>
      <c r="F499">
        <v>6.4409999999999998</v>
      </c>
      <c r="J499">
        <v>1.365</v>
      </c>
      <c r="L499">
        <v>1.4359999999999999</v>
      </c>
      <c r="M499">
        <v>0.85699999999999998</v>
      </c>
      <c r="N499">
        <v>0.41799999999999998</v>
      </c>
      <c r="O499">
        <v>7.8E-2</v>
      </c>
      <c r="P499">
        <v>0.151</v>
      </c>
      <c r="R499">
        <v>2018</v>
      </c>
    </row>
    <row r="500" spans="3:18" x14ac:dyDescent="0.35">
      <c r="C500" t="s">
        <v>42</v>
      </c>
      <c r="E500">
        <v>27</v>
      </c>
      <c r="F500">
        <v>6.43</v>
      </c>
      <c r="J500">
        <v>1.1120000000000001</v>
      </c>
      <c r="L500">
        <v>1.4379999999999999</v>
      </c>
      <c r="M500">
        <v>0.75900000000000001</v>
      </c>
      <c r="N500">
        <v>0.59699999999999998</v>
      </c>
      <c r="O500">
        <v>6.3E-2</v>
      </c>
      <c r="P500">
        <v>0.125</v>
      </c>
      <c r="R500">
        <v>2018</v>
      </c>
    </row>
    <row r="501" spans="3:18" x14ac:dyDescent="0.35">
      <c r="C501" t="s">
        <v>32</v>
      </c>
      <c r="E501">
        <v>28</v>
      </c>
      <c r="F501">
        <v>6.4189999999999996</v>
      </c>
      <c r="J501">
        <v>0.98599999999999999</v>
      </c>
      <c r="L501">
        <v>1.474</v>
      </c>
      <c r="M501">
        <v>0.67500000000000004</v>
      </c>
      <c r="N501">
        <v>0.49299999999999999</v>
      </c>
      <c r="O501">
        <v>8.7999999999999995E-2</v>
      </c>
      <c r="P501">
        <v>0.11</v>
      </c>
      <c r="R501">
        <v>2018</v>
      </c>
    </row>
    <row r="502" spans="3:18" x14ac:dyDescent="0.35">
      <c r="C502" t="s">
        <v>47</v>
      </c>
      <c r="E502">
        <v>29</v>
      </c>
      <c r="F502">
        <v>6.3879999999999999</v>
      </c>
      <c r="J502">
        <v>1.073</v>
      </c>
      <c r="L502">
        <v>1.468</v>
      </c>
      <c r="M502">
        <v>0.74399999999999999</v>
      </c>
      <c r="N502">
        <v>0.56999999999999995</v>
      </c>
      <c r="O502">
        <v>5.3999999999999999E-2</v>
      </c>
      <c r="P502">
        <v>6.2E-2</v>
      </c>
      <c r="R502">
        <v>2018</v>
      </c>
    </row>
    <row r="503" spans="3:18" x14ac:dyDescent="0.35">
      <c r="C503" t="s">
        <v>62</v>
      </c>
      <c r="E503">
        <v>30</v>
      </c>
      <c r="F503">
        <v>6.3819999999999997</v>
      </c>
      <c r="J503">
        <v>0.78100000000000003</v>
      </c>
      <c r="L503">
        <v>1.268</v>
      </c>
      <c r="M503">
        <v>0.60799999999999998</v>
      </c>
      <c r="N503">
        <v>0.60399999999999998</v>
      </c>
      <c r="O503">
        <v>7.0999999999999994E-2</v>
      </c>
      <c r="P503">
        <v>0.17899999999999999</v>
      </c>
      <c r="R503">
        <v>2018</v>
      </c>
    </row>
    <row r="504" spans="3:18" x14ac:dyDescent="0.35">
      <c r="C504" t="s">
        <v>50</v>
      </c>
      <c r="E504">
        <v>31</v>
      </c>
      <c r="F504">
        <v>6.3789999999999996</v>
      </c>
      <c r="J504">
        <v>1.093</v>
      </c>
      <c r="L504">
        <v>1.4590000000000001</v>
      </c>
      <c r="M504">
        <v>0.77100000000000002</v>
      </c>
      <c r="N504">
        <v>0.625</v>
      </c>
      <c r="O504">
        <v>0.155</v>
      </c>
      <c r="P504">
        <v>0.13</v>
      </c>
      <c r="R504">
        <v>2018</v>
      </c>
    </row>
    <row r="505" spans="3:18" x14ac:dyDescent="0.35">
      <c r="C505" t="s">
        <v>45</v>
      </c>
      <c r="E505">
        <v>32</v>
      </c>
      <c r="F505">
        <v>6.3739999999999997</v>
      </c>
      <c r="J505">
        <v>1.649</v>
      </c>
      <c r="L505">
        <v>1.3029999999999999</v>
      </c>
      <c r="M505">
        <v>0.748</v>
      </c>
      <c r="N505">
        <v>0.65400000000000003</v>
      </c>
      <c r="O505">
        <v>0.17100000000000001</v>
      </c>
      <c r="P505">
        <v>0.25600000000000001</v>
      </c>
      <c r="R505">
        <v>2018</v>
      </c>
    </row>
    <row r="506" spans="3:18" x14ac:dyDescent="0.35">
      <c r="C506" t="s">
        <v>53</v>
      </c>
      <c r="E506">
        <v>33</v>
      </c>
      <c r="F506">
        <v>6.3710000000000004</v>
      </c>
      <c r="J506">
        <v>1.379</v>
      </c>
      <c r="L506">
        <v>1.331</v>
      </c>
      <c r="M506">
        <v>0.63300000000000001</v>
      </c>
      <c r="N506">
        <v>0.50900000000000001</v>
      </c>
      <c r="O506">
        <v>0.127</v>
      </c>
      <c r="P506">
        <v>9.8000000000000004E-2</v>
      </c>
      <c r="R506">
        <v>2018</v>
      </c>
    </row>
    <row r="507" spans="3:18" x14ac:dyDescent="0.35">
      <c r="C507" t="s">
        <v>40</v>
      </c>
      <c r="E507">
        <v>34</v>
      </c>
      <c r="F507">
        <v>6.343</v>
      </c>
      <c r="J507">
        <v>1.5289999999999999</v>
      </c>
      <c r="L507">
        <v>1.4510000000000001</v>
      </c>
      <c r="M507">
        <v>1.008</v>
      </c>
      <c r="N507">
        <v>0.63100000000000001</v>
      </c>
      <c r="O507">
        <v>0.45700000000000002</v>
      </c>
      <c r="P507">
        <v>0.26100000000000001</v>
      </c>
      <c r="R507">
        <v>2018</v>
      </c>
    </row>
    <row r="508" spans="3:18" x14ac:dyDescent="0.35">
      <c r="C508" t="s">
        <v>80</v>
      </c>
      <c r="E508">
        <v>35</v>
      </c>
      <c r="F508">
        <v>6.3220000000000001</v>
      </c>
      <c r="J508">
        <v>1.161</v>
      </c>
      <c r="L508">
        <v>1.258</v>
      </c>
      <c r="M508">
        <v>0.66900000000000004</v>
      </c>
      <c r="N508">
        <v>0.35599999999999998</v>
      </c>
      <c r="O508">
        <v>5.8999999999999997E-2</v>
      </c>
      <c r="P508">
        <v>0.311</v>
      </c>
      <c r="R508">
        <v>2018</v>
      </c>
    </row>
    <row r="509" spans="3:18" x14ac:dyDescent="0.35">
      <c r="C509" t="s">
        <v>54</v>
      </c>
      <c r="E509">
        <v>36</v>
      </c>
      <c r="F509">
        <v>6.31</v>
      </c>
      <c r="J509">
        <v>1.2509999999999999</v>
      </c>
      <c r="L509">
        <v>1.538</v>
      </c>
      <c r="M509">
        <v>0.96499999999999997</v>
      </c>
      <c r="N509">
        <v>0.44900000000000001</v>
      </c>
      <c r="O509">
        <v>7.3999999999999996E-2</v>
      </c>
      <c r="P509">
        <v>0.14199999999999999</v>
      </c>
      <c r="R509">
        <v>2018</v>
      </c>
    </row>
    <row r="510" spans="3:18" x14ac:dyDescent="0.35">
      <c r="C510" t="s">
        <v>51</v>
      </c>
      <c r="E510">
        <v>37</v>
      </c>
      <c r="F510">
        <v>6.26</v>
      </c>
      <c r="J510">
        <v>0.96</v>
      </c>
      <c r="L510">
        <v>1.4390000000000001</v>
      </c>
      <c r="M510">
        <v>0.63500000000000001</v>
      </c>
      <c r="N510">
        <v>0.53100000000000003</v>
      </c>
      <c r="O510">
        <v>3.9E-2</v>
      </c>
      <c r="P510">
        <v>9.9000000000000005E-2</v>
      </c>
      <c r="R510">
        <v>2018</v>
      </c>
    </row>
    <row r="511" spans="3:18" x14ac:dyDescent="0.35">
      <c r="C511" t="s">
        <v>232</v>
      </c>
      <c r="E511">
        <v>38</v>
      </c>
      <c r="F511">
        <v>6.1920000000000002</v>
      </c>
      <c r="J511">
        <v>1.2230000000000001</v>
      </c>
      <c r="L511">
        <v>1.492</v>
      </c>
      <c r="M511">
        <v>0.56399999999999995</v>
      </c>
      <c r="N511">
        <v>0.57499999999999996</v>
      </c>
      <c r="O511">
        <v>1.9E-2</v>
      </c>
      <c r="P511">
        <v>0.17100000000000001</v>
      </c>
      <c r="R511">
        <v>2018</v>
      </c>
    </row>
    <row r="512" spans="3:18" x14ac:dyDescent="0.35">
      <c r="C512" t="s">
        <v>64</v>
      </c>
      <c r="E512">
        <v>39</v>
      </c>
      <c r="F512">
        <v>6.173</v>
      </c>
      <c r="J512">
        <v>1.21</v>
      </c>
      <c r="L512">
        <v>1.5369999999999999</v>
      </c>
      <c r="M512">
        <v>0.77600000000000002</v>
      </c>
      <c r="N512">
        <v>0.35399999999999998</v>
      </c>
      <c r="O512">
        <v>1.4E-2</v>
      </c>
      <c r="P512">
        <v>0.11799999999999999</v>
      </c>
      <c r="R512">
        <v>2018</v>
      </c>
    </row>
    <row r="513" spans="3:18" x14ac:dyDescent="0.35">
      <c r="C513" t="s">
        <v>61</v>
      </c>
      <c r="E513">
        <v>40</v>
      </c>
      <c r="F513">
        <v>6.1669999999999998</v>
      </c>
      <c r="J513">
        <v>0.80600000000000005</v>
      </c>
      <c r="L513">
        <v>1.2310000000000001</v>
      </c>
      <c r="M513">
        <v>0.63900000000000001</v>
      </c>
      <c r="N513">
        <v>0.46100000000000002</v>
      </c>
      <c r="O513">
        <v>8.2000000000000003E-2</v>
      </c>
      <c r="P513">
        <v>6.5000000000000002E-2</v>
      </c>
      <c r="R513">
        <v>2018</v>
      </c>
    </row>
    <row r="514" spans="3:18" x14ac:dyDescent="0.35">
      <c r="C514" t="s">
        <v>76</v>
      </c>
      <c r="E514">
        <v>41</v>
      </c>
      <c r="F514">
        <v>6.141</v>
      </c>
      <c r="J514">
        <v>0.66800000000000004</v>
      </c>
      <c r="L514">
        <v>1.319</v>
      </c>
      <c r="M514">
        <v>0.7</v>
      </c>
      <c r="N514">
        <v>0.52700000000000002</v>
      </c>
      <c r="O514">
        <v>0.128</v>
      </c>
      <c r="P514">
        <v>0.20799999999999999</v>
      </c>
      <c r="R514">
        <v>2018</v>
      </c>
    </row>
    <row r="515" spans="3:18" x14ac:dyDescent="0.35">
      <c r="C515" t="s">
        <v>79</v>
      </c>
      <c r="E515">
        <v>42</v>
      </c>
      <c r="F515">
        <v>6.1230000000000002</v>
      </c>
      <c r="J515">
        <v>1.1759999999999999</v>
      </c>
      <c r="L515">
        <v>1.448</v>
      </c>
      <c r="M515">
        <v>0.78100000000000003</v>
      </c>
      <c r="N515">
        <v>0.54600000000000004</v>
      </c>
      <c r="O515">
        <v>6.4000000000000001E-2</v>
      </c>
      <c r="P515">
        <v>0.108</v>
      </c>
      <c r="R515">
        <v>2018</v>
      </c>
    </row>
    <row r="516" spans="3:18" x14ac:dyDescent="0.35">
      <c r="C516" t="s">
        <v>68</v>
      </c>
      <c r="E516">
        <v>43</v>
      </c>
      <c r="F516">
        <v>6.1050000000000004</v>
      </c>
      <c r="J516">
        <v>1.3380000000000001</v>
      </c>
      <c r="L516">
        <v>1.3660000000000001</v>
      </c>
      <c r="M516">
        <v>0.69799999999999995</v>
      </c>
      <c r="N516">
        <v>0.59399999999999997</v>
      </c>
      <c r="O516">
        <v>0.123</v>
      </c>
      <c r="P516">
        <v>0.24299999999999999</v>
      </c>
      <c r="R516">
        <v>2018</v>
      </c>
    </row>
    <row r="517" spans="3:18" x14ac:dyDescent="0.35">
      <c r="C517" t="s">
        <v>63</v>
      </c>
      <c r="E517">
        <v>44</v>
      </c>
      <c r="F517">
        <v>6.0960000000000001</v>
      </c>
      <c r="J517">
        <v>0.71899999999999997</v>
      </c>
      <c r="L517">
        <v>1.5840000000000001</v>
      </c>
      <c r="M517">
        <v>0.60499999999999998</v>
      </c>
      <c r="N517">
        <v>0.72399999999999998</v>
      </c>
      <c r="O517">
        <v>0.25900000000000001</v>
      </c>
      <c r="P517">
        <v>0.32800000000000001</v>
      </c>
      <c r="R517">
        <v>2018</v>
      </c>
    </row>
    <row r="518" spans="3:18" x14ac:dyDescent="0.35">
      <c r="C518" t="s">
        <v>58</v>
      </c>
      <c r="E518">
        <v>45</v>
      </c>
      <c r="F518">
        <v>6.0830000000000002</v>
      </c>
      <c r="J518">
        <v>1.474</v>
      </c>
      <c r="L518">
        <v>1.3009999999999999</v>
      </c>
      <c r="M518">
        <v>0.67500000000000004</v>
      </c>
      <c r="N518">
        <v>0.55400000000000005</v>
      </c>
      <c r="O518">
        <v>0.106</v>
      </c>
      <c r="P518">
        <v>0.16700000000000001</v>
      </c>
      <c r="R518">
        <v>2018</v>
      </c>
    </row>
    <row r="519" spans="3:18" x14ac:dyDescent="0.35">
      <c r="C519" t="s">
        <v>52</v>
      </c>
      <c r="E519">
        <v>46</v>
      </c>
      <c r="F519">
        <v>6.0720000000000001</v>
      </c>
      <c r="J519">
        <v>1.016</v>
      </c>
      <c r="L519">
        <v>1.417</v>
      </c>
      <c r="M519">
        <v>0.70699999999999996</v>
      </c>
      <c r="N519">
        <v>0.63700000000000001</v>
      </c>
      <c r="O519">
        <v>2.9000000000000001E-2</v>
      </c>
      <c r="P519">
        <v>0.36399999999999999</v>
      </c>
      <c r="R519">
        <v>2018</v>
      </c>
    </row>
    <row r="520" spans="3:18" x14ac:dyDescent="0.35">
      <c r="C520" t="s">
        <v>69</v>
      </c>
      <c r="E520">
        <v>47</v>
      </c>
      <c r="F520">
        <v>6</v>
      </c>
      <c r="J520">
        <v>1.264</v>
      </c>
      <c r="L520">
        <v>1.5009999999999999</v>
      </c>
      <c r="M520">
        <v>0.94599999999999995</v>
      </c>
      <c r="N520">
        <v>0.28100000000000003</v>
      </c>
      <c r="O520">
        <v>2.8000000000000001E-2</v>
      </c>
      <c r="P520">
        <v>0.13700000000000001</v>
      </c>
      <c r="R520">
        <v>2018</v>
      </c>
    </row>
    <row r="521" spans="3:18" x14ac:dyDescent="0.35">
      <c r="C521" t="s">
        <v>67</v>
      </c>
      <c r="E521">
        <v>48</v>
      </c>
      <c r="F521">
        <v>5.9729999999999999</v>
      </c>
      <c r="J521">
        <v>0.88900000000000001</v>
      </c>
      <c r="L521">
        <v>1.33</v>
      </c>
      <c r="M521">
        <v>0.73599999999999999</v>
      </c>
      <c r="N521">
        <v>0.55600000000000005</v>
      </c>
      <c r="O521">
        <v>0.12</v>
      </c>
      <c r="P521">
        <v>0.114</v>
      </c>
      <c r="R521">
        <v>2018</v>
      </c>
    </row>
    <row r="522" spans="3:18" x14ac:dyDescent="0.35">
      <c r="C522" t="s">
        <v>208</v>
      </c>
      <c r="E522">
        <v>49</v>
      </c>
      <c r="F522">
        <v>5.9560000000000004</v>
      </c>
      <c r="J522">
        <v>0.80700000000000005</v>
      </c>
      <c r="L522">
        <v>1.101</v>
      </c>
      <c r="M522">
        <v>0.47399999999999998</v>
      </c>
      <c r="N522">
        <v>0.59299999999999997</v>
      </c>
      <c r="O522">
        <v>8.8999999999999996E-2</v>
      </c>
      <c r="P522">
        <v>0.183</v>
      </c>
      <c r="R522">
        <v>2018</v>
      </c>
    </row>
    <row r="523" spans="3:18" x14ac:dyDescent="0.35">
      <c r="C523" t="s">
        <v>75</v>
      </c>
      <c r="E523">
        <v>50</v>
      </c>
      <c r="F523">
        <v>5.952</v>
      </c>
      <c r="J523">
        <v>1.1970000000000001</v>
      </c>
      <c r="L523">
        <v>1.5269999999999999</v>
      </c>
      <c r="M523">
        <v>0.71599999999999997</v>
      </c>
      <c r="N523">
        <v>0.35</v>
      </c>
      <c r="O523">
        <v>6.0000000000000001E-3</v>
      </c>
      <c r="P523">
        <v>2.5999999999999999E-2</v>
      </c>
      <c r="R523">
        <v>2018</v>
      </c>
    </row>
    <row r="524" spans="3:18" x14ac:dyDescent="0.35">
      <c r="C524" t="s">
        <v>74</v>
      </c>
      <c r="E524">
        <v>51</v>
      </c>
      <c r="F524">
        <v>5.9480000000000004</v>
      </c>
      <c r="J524">
        <v>1.2190000000000001</v>
      </c>
      <c r="L524">
        <v>1.506</v>
      </c>
      <c r="M524">
        <v>0.85599999999999998</v>
      </c>
      <c r="N524">
        <v>0.63300000000000001</v>
      </c>
      <c r="O524">
        <v>5.0999999999999997E-2</v>
      </c>
      <c r="P524">
        <v>0.16</v>
      </c>
      <c r="R524">
        <v>2018</v>
      </c>
    </row>
    <row r="525" spans="3:18" x14ac:dyDescent="0.35">
      <c r="C525" t="s">
        <v>107</v>
      </c>
      <c r="E525">
        <v>52</v>
      </c>
      <c r="F525">
        <v>5.9450000000000003</v>
      </c>
      <c r="J525">
        <v>1.1160000000000001</v>
      </c>
      <c r="L525">
        <v>1.2190000000000001</v>
      </c>
      <c r="M525">
        <v>0.72599999999999998</v>
      </c>
      <c r="N525">
        <v>0.52800000000000002</v>
      </c>
      <c r="O525">
        <v>1E-3</v>
      </c>
      <c r="P525">
        <v>8.7999999999999995E-2</v>
      </c>
      <c r="R525">
        <v>2018</v>
      </c>
    </row>
    <row r="526" spans="3:18" x14ac:dyDescent="0.35">
      <c r="C526" t="s">
        <v>110</v>
      </c>
      <c r="E526">
        <v>53</v>
      </c>
      <c r="F526">
        <v>5.9329999999999998</v>
      </c>
      <c r="J526">
        <v>1.1479999999999999</v>
      </c>
      <c r="L526">
        <v>1.454</v>
      </c>
      <c r="M526">
        <v>0.67100000000000004</v>
      </c>
      <c r="N526">
        <v>0.36299999999999999</v>
      </c>
      <c r="O526">
        <v>6.6000000000000003E-2</v>
      </c>
      <c r="P526">
        <v>9.1999999999999998E-2</v>
      </c>
      <c r="R526">
        <v>2018</v>
      </c>
    </row>
    <row r="527" spans="3:18" x14ac:dyDescent="0.35">
      <c r="C527" t="s">
        <v>65</v>
      </c>
      <c r="E527">
        <v>54</v>
      </c>
      <c r="F527">
        <v>5.915</v>
      </c>
      <c r="J527">
        <v>1.294</v>
      </c>
      <c r="L527">
        <v>1.462</v>
      </c>
      <c r="M527">
        <v>0.98799999999999999</v>
      </c>
      <c r="N527">
        <v>0.55300000000000005</v>
      </c>
      <c r="O527">
        <v>0.15</v>
      </c>
      <c r="P527">
        <v>7.9000000000000001E-2</v>
      </c>
      <c r="R527">
        <v>2018</v>
      </c>
    </row>
    <row r="528" spans="3:18" x14ac:dyDescent="0.35">
      <c r="C528" t="s">
        <v>90</v>
      </c>
      <c r="E528">
        <v>55</v>
      </c>
      <c r="F528">
        <v>5.891</v>
      </c>
      <c r="J528">
        <v>1.0900000000000001</v>
      </c>
      <c r="L528">
        <v>1.387</v>
      </c>
      <c r="M528">
        <v>0.68400000000000005</v>
      </c>
      <c r="N528">
        <v>0.58399999999999996</v>
      </c>
      <c r="O528">
        <v>0.05</v>
      </c>
      <c r="P528">
        <v>0.245</v>
      </c>
      <c r="R528">
        <v>2018</v>
      </c>
    </row>
    <row r="529" spans="3:18" x14ac:dyDescent="0.35">
      <c r="C529" t="s">
        <v>84</v>
      </c>
      <c r="E529">
        <v>56</v>
      </c>
      <c r="F529">
        <v>5.89</v>
      </c>
      <c r="J529">
        <v>0.81899999999999995</v>
      </c>
      <c r="L529">
        <v>1.4930000000000001</v>
      </c>
      <c r="M529">
        <v>0.69299999999999995</v>
      </c>
      <c r="N529">
        <v>0.57499999999999996</v>
      </c>
      <c r="O529">
        <v>3.1E-2</v>
      </c>
      <c r="P529">
        <v>9.6000000000000002E-2</v>
      </c>
      <c r="R529">
        <v>2018</v>
      </c>
    </row>
    <row r="530" spans="3:18" x14ac:dyDescent="0.35">
      <c r="C530" t="s">
        <v>66</v>
      </c>
      <c r="E530">
        <v>57</v>
      </c>
      <c r="F530">
        <v>5.875</v>
      </c>
      <c r="J530">
        <v>1.266</v>
      </c>
      <c r="L530">
        <v>1.204</v>
      </c>
      <c r="M530">
        <v>0.95499999999999996</v>
      </c>
      <c r="N530">
        <v>0.24399999999999999</v>
      </c>
      <c r="O530">
        <v>5.0999999999999997E-2</v>
      </c>
      <c r="P530">
        <v>0.17499999999999999</v>
      </c>
      <c r="R530">
        <v>2018</v>
      </c>
    </row>
    <row r="531" spans="3:18" x14ac:dyDescent="0.35">
      <c r="C531" t="s">
        <v>233</v>
      </c>
      <c r="E531">
        <v>58</v>
      </c>
      <c r="F531">
        <v>5.835</v>
      </c>
      <c r="J531">
        <v>1.2290000000000001</v>
      </c>
      <c r="L531">
        <v>1.2110000000000001</v>
      </c>
      <c r="M531">
        <v>0.90900000000000003</v>
      </c>
      <c r="N531">
        <v>0.495</v>
      </c>
      <c r="O531">
        <v>0.154</v>
      </c>
      <c r="P531">
        <v>0.17899999999999999</v>
      </c>
      <c r="R531">
        <v>2018</v>
      </c>
    </row>
    <row r="532" spans="3:18" x14ac:dyDescent="0.35">
      <c r="C532" t="s">
        <v>83</v>
      </c>
      <c r="E532">
        <v>59</v>
      </c>
      <c r="F532">
        <v>5.81</v>
      </c>
      <c r="J532">
        <v>1.151</v>
      </c>
      <c r="L532">
        <v>1.4790000000000001</v>
      </c>
      <c r="M532">
        <v>0.59899999999999998</v>
      </c>
      <c r="N532">
        <v>0.39900000000000002</v>
      </c>
      <c r="O532">
        <v>2.5000000000000001E-2</v>
      </c>
      <c r="P532">
        <v>6.5000000000000002E-2</v>
      </c>
      <c r="R532">
        <v>2018</v>
      </c>
    </row>
    <row r="533" spans="3:18" x14ac:dyDescent="0.35">
      <c r="C533" t="s">
        <v>73</v>
      </c>
      <c r="E533">
        <v>60</v>
      </c>
      <c r="F533">
        <v>5.79</v>
      </c>
      <c r="J533">
        <v>1.143</v>
      </c>
      <c r="L533">
        <v>1.516</v>
      </c>
      <c r="M533">
        <v>0.63100000000000001</v>
      </c>
      <c r="N533">
        <v>0.45400000000000001</v>
      </c>
      <c r="O533">
        <v>0.121</v>
      </c>
      <c r="P533">
        <v>0.14799999999999999</v>
      </c>
      <c r="R533">
        <v>2018</v>
      </c>
    </row>
    <row r="534" spans="3:18" x14ac:dyDescent="0.35">
      <c r="C534" t="s">
        <v>86</v>
      </c>
      <c r="E534">
        <v>61</v>
      </c>
      <c r="F534">
        <v>5.7619999999999996</v>
      </c>
      <c r="J534">
        <v>1.2290000000000001</v>
      </c>
      <c r="L534">
        <v>1.1910000000000001</v>
      </c>
      <c r="M534">
        <v>0.90900000000000003</v>
      </c>
      <c r="N534">
        <v>0.42299999999999999</v>
      </c>
      <c r="O534">
        <v>3.5000000000000003E-2</v>
      </c>
      <c r="P534">
        <v>0.20200000000000001</v>
      </c>
      <c r="R534">
        <v>2018</v>
      </c>
    </row>
    <row r="535" spans="3:18" x14ac:dyDescent="0.35">
      <c r="C535" t="s">
        <v>70</v>
      </c>
      <c r="E535">
        <v>62</v>
      </c>
      <c r="F535">
        <v>5.7519999999999998</v>
      </c>
      <c r="J535">
        <v>0.751</v>
      </c>
      <c r="L535">
        <v>1.2230000000000001</v>
      </c>
      <c r="M535">
        <v>0.50800000000000001</v>
      </c>
      <c r="N535">
        <v>0.60599999999999998</v>
      </c>
      <c r="O535">
        <v>5.3999999999999999E-2</v>
      </c>
      <c r="P535">
        <v>0.14099999999999999</v>
      </c>
      <c r="R535">
        <v>2018</v>
      </c>
    </row>
    <row r="536" spans="3:18" x14ac:dyDescent="0.35">
      <c r="C536" t="s">
        <v>93</v>
      </c>
      <c r="E536">
        <v>63</v>
      </c>
      <c r="F536">
        <v>5.7389999999999999</v>
      </c>
      <c r="J536">
        <v>1.2</v>
      </c>
      <c r="L536">
        <v>1.532</v>
      </c>
      <c r="M536">
        <v>0.73699999999999999</v>
      </c>
      <c r="N536">
        <v>0.55300000000000005</v>
      </c>
      <c r="O536">
        <v>0.17399999999999999</v>
      </c>
      <c r="P536">
        <v>8.5999999999999993E-2</v>
      </c>
      <c r="R536">
        <v>2018</v>
      </c>
    </row>
    <row r="537" spans="3:18" x14ac:dyDescent="0.35">
      <c r="C537" t="s">
        <v>72</v>
      </c>
      <c r="E537">
        <v>64</v>
      </c>
      <c r="F537">
        <v>5.681</v>
      </c>
      <c r="J537">
        <v>0.83499999999999996</v>
      </c>
      <c r="L537">
        <v>1.522</v>
      </c>
      <c r="M537">
        <v>0.61499999999999999</v>
      </c>
      <c r="N537">
        <v>0.54100000000000004</v>
      </c>
      <c r="O537">
        <v>7.3999999999999996E-2</v>
      </c>
      <c r="P537">
        <v>0.16200000000000001</v>
      </c>
      <c r="R537">
        <v>2018</v>
      </c>
    </row>
    <row r="538" spans="3:18" x14ac:dyDescent="0.35">
      <c r="C538" t="s">
        <v>77</v>
      </c>
      <c r="E538">
        <v>65</v>
      </c>
      <c r="F538">
        <v>5.6630000000000003</v>
      </c>
      <c r="J538">
        <v>0.93400000000000005</v>
      </c>
      <c r="L538">
        <v>1.2490000000000001</v>
      </c>
      <c r="M538">
        <v>0.67400000000000004</v>
      </c>
      <c r="N538">
        <v>0.53</v>
      </c>
      <c r="O538">
        <v>3.4000000000000002E-2</v>
      </c>
      <c r="P538">
        <v>9.1999999999999998E-2</v>
      </c>
      <c r="R538">
        <v>2018</v>
      </c>
    </row>
    <row r="539" spans="3:18" x14ac:dyDescent="0.35">
      <c r="C539" t="s">
        <v>88</v>
      </c>
      <c r="E539">
        <v>66</v>
      </c>
      <c r="F539">
        <v>5.6619999999999999</v>
      </c>
      <c r="J539">
        <v>0.85499999999999998</v>
      </c>
      <c r="L539">
        <v>1.23</v>
      </c>
      <c r="M539">
        <v>0.57799999999999996</v>
      </c>
      <c r="N539">
        <v>0.44800000000000001</v>
      </c>
      <c r="O539">
        <v>2.3E-2</v>
      </c>
      <c r="P539">
        <v>0.27400000000000002</v>
      </c>
      <c r="R539">
        <v>2018</v>
      </c>
    </row>
    <row r="540" spans="3:18" x14ac:dyDescent="0.35">
      <c r="C540" t="s">
        <v>71</v>
      </c>
      <c r="E540">
        <v>67</v>
      </c>
      <c r="F540">
        <v>5.64</v>
      </c>
      <c r="J540">
        <v>0.65700000000000003</v>
      </c>
      <c r="L540">
        <v>1.3009999999999999</v>
      </c>
      <c r="M540">
        <v>0.62</v>
      </c>
      <c r="N540">
        <v>0.23200000000000001</v>
      </c>
      <c r="O540">
        <v>0</v>
      </c>
      <c r="P540">
        <v>0.17100000000000001</v>
      </c>
      <c r="R540">
        <v>2018</v>
      </c>
    </row>
    <row r="541" spans="3:18" x14ac:dyDescent="0.35">
      <c r="C541" t="s">
        <v>89</v>
      </c>
      <c r="E541">
        <v>68</v>
      </c>
      <c r="F541">
        <v>5.6360000000000001</v>
      </c>
      <c r="J541">
        <v>1.016</v>
      </c>
      <c r="L541">
        <v>1.5329999999999999</v>
      </c>
      <c r="M541">
        <v>0.51700000000000002</v>
      </c>
      <c r="N541">
        <v>0.41699999999999998</v>
      </c>
      <c r="O541">
        <v>3.6999999999999998E-2</v>
      </c>
      <c r="P541">
        <v>0.19900000000000001</v>
      </c>
      <c r="R541">
        <v>2018</v>
      </c>
    </row>
    <row r="542" spans="3:18" x14ac:dyDescent="0.35">
      <c r="C542" t="s">
        <v>125</v>
      </c>
      <c r="E542">
        <v>69</v>
      </c>
      <c r="F542">
        <v>5.62</v>
      </c>
      <c r="J542">
        <v>1.171</v>
      </c>
      <c r="L542">
        <v>1.401</v>
      </c>
      <c r="M542">
        <v>0.73199999999999998</v>
      </c>
      <c r="N542">
        <v>0.25900000000000001</v>
      </c>
      <c r="O542">
        <v>2.1999999999999999E-2</v>
      </c>
      <c r="P542">
        <v>6.0999999999999999E-2</v>
      </c>
      <c r="R542">
        <v>2018</v>
      </c>
    </row>
    <row r="543" spans="3:18" x14ac:dyDescent="0.35">
      <c r="C543" t="s">
        <v>82</v>
      </c>
      <c r="E543">
        <v>70</v>
      </c>
      <c r="F543">
        <v>5.5659999999999998</v>
      </c>
      <c r="J543">
        <v>0.98499999999999999</v>
      </c>
      <c r="L543">
        <v>1.35</v>
      </c>
      <c r="M543">
        <v>0.55300000000000005</v>
      </c>
      <c r="N543">
        <v>0.496</v>
      </c>
      <c r="O543">
        <v>0.14799999999999999</v>
      </c>
      <c r="P543">
        <v>0.11600000000000001</v>
      </c>
      <c r="R543">
        <v>2018</v>
      </c>
    </row>
    <row r="544" spans="3:18" x14ac:dyDescent="0.35">
      <c r="C544" t="s">
        <v>111</v>
      </c>
      <c r="E544">
        <v>71</v>
      </c>
      <c r="F544">
        <v>5.524</v>
      </c>
      <c r="J544">
        <v>0.77500000000000002</v>
      </c>
      <c r="L544">
        <v>1.3120000000000001</v>
      </c>
      <c r="M544">
        <v>0.51300000000000001</v>
      </c>
      <c r="N544">
        <v>0.64300000000000002</v>
      </c>
      <c r="O544">
        <v>0.105</v>
      </c>
      <c r="P544">
        <v>0.12</v>
      </c>
      <c r="R544">
        <v>2018</v>
      </c>
    </row>
    <row r="545" spans="3:18" x14ac:dyDescent="0.35">
      <c r="C545" t="s">
        <v>126</v>
      </c>
      <c r="E545">
        <v>72</v>
      </c>
      <c r="F545">
        <v>5.5039999999999996</v>
      </c>
      <c r="J545">
        <v>0.62</v>
      </c>
      <c r="L545">
        <v>1.2050000000000001</v>
      </c>
      <c r="M545">
        <v>0.622</v>
      </c>
      <c r="N545">
        <v>0.45900000000000002</v>
      </c>
      <c r="O545">
        <v>7.3999999999999996E-2</v>
      </c>
      <c r="P545">
        <v>0.19700000000000001</v>
      </c>
      <c r="R545">
        <v>2018</v>
      </c>
    </row>
    <row r="546" spans="3:18" x14ac:dyDescent="0.35">
      <c r="C546" t="s">
        <v>78</v>
      </c>
      <c r="E546">
        <v>73</v>
      </c>
      <c r="F546">
        <v>5.4829999999999997</v>
      </c>
      <c r="J546">
        <v>1.0389999999999999</v>
      </c>
      <c r="L546">
        <v>1.498</v>
      </c>
      <c r="M546">
        <v>0.7</v>
      </c>
      <c r="N546">
        <v>0.307</v>
      </c>
      <c r="O546">
        <v>0.154</v>
      </c>
      <c r="P546">
        <v>0.10100000000000001</v>
      </c>
      <c r="R546">
        <v>2018</v>
      </c>
    </row>
    <row r="547" spans="3:18" x14ac:dyDescent="0.35">
      <c r="C547" t="s">
        <v>96</v>
      </c>
      <c r="E547">
        <v>74</v>
      </c>
      <c r="F547">
        <v>5.4829999999999997</v>
      </c>
      <c r="J547">
        <v>1.1479999999999999</v>
      </c>
      <c r="L547">
        <v>1.38</v>
      </c>
      <c r="M547">
        <v>0.68600000000000005</v>
      </c>
      <c r="N547">
        <v>0.32400000000000001</v>
      </c>
      <c r="O547">
        <v>0.109</v>
      </c>
      <c r="P547">
        <v>0.106</v>
      </c>
      <c r="R547">
        <v>2018</v>
      </c>
    </row>
    <row r="548" spans="3:18" x14ac:dyDescent="0.35">
      <c r="C548" t="s">
        <v>102</v>
      </c>
      <c r="E548">
        <v>75</v>
      </c>
      <c r="F548">
        <v>5.4720000000000004</v>
      </c>
      <c r="J548">
        <v>0.65200000000000002</v>
      </c>
      <c r="L548">
        <v>0.81</v>
      </c>
      <c r="M548">
        <v>0.42399999999999999</v>
      </c>
      <c r="N548">
        <v>0.33400000000000002</v>
      </c>
      <c r="O548">
        <v>0.113</v>
      </c>
      <c r="P548">
        <v>0.216</v>
      </c>
      <c r="R548">
        <v>2018</v>
      </c>
    </row>
    <row r="549" spans="3:18" x14ac:dyDescent="0.35">
      <c r="C549" t="s">
        <v>92</v>
      </c>
      <c r="E549">
        <v>76</v>
      </c>
      <c r="F549">
        <v>5.43</v>
      </c>
      <c r="J549">
        <v>1.405</v>
      </c>
      <c r="L549">
        <v>1.29</v>
      </c>
      <c r="M549">
        <v>1.03</v>
      </c>
      <c r="N549">
        <v>0.52400000000000002</v>
      </c>
      <c r="O549">
        <v>0.29099999999999998</v>
      </c>
      <c r="P549">
        <v>0.246</v>
      </c>
      <c r="R549">
        <v>2018</v>
      </c>
    </row>
    <row r="550" spans="3:18" x14ac:dyDescent="0.35">
      <c r="C550" t="s">
        <v>109</v>
      </c>
      <c r="E550">
        <v>77</v>
      </c>
      <c r="F550">
        <v>5.41</v>
      </c>
      <c r="J550">
        <v>1.1879999999999999</v>
      </c>
      <c r="L550">
        <v>1.429</v>
      </c>
      <c r="M550">
        <v>0.88400000000000001</v>
      </c>
      <c r="N550">
        <v>0.56200000000000006</v>
      </c>
      <c r="O550">
        <v>1.7000000000000001E-2</v>
      </c>
      <c r="P550">
        <v>5.5E-2</v>
      </c>
      <c r="R550">
        <v>2018</v>
      </c>
    </row>
    <row r="551" spans="3:18" x14ac:dyDescent="0.35">
      <c r="C551" t="s">
        <v>108</v>
      </c>
      <c r="E551">
        <v>78</v>
      </c>
      <c r="F551">
        <v>5.3979999999999997</v>
      </c>
      <c r="J551">
        <v>0.97499999999999998</v>
      </c>
      <c r="L551">
        <v>1.369</v>
      </c>
      <c r="M551">
        <v>0.68500000000000005</v>
      </c>
      <c r="N551">
        <v>0.28799999999999998</v>
      </c>
      <c r="O551">
        <v>4.2999999999999997E-2</v>
      </c>
      <c r="P551">
        <v>0.13400000000000001</v>
      </c>
      <c r="R551">
        <v>2018</v>
      </c>
    </row>
    <row r="552" spans="3:18" x14ac:dyDescent="0.35">
      <c r="C552" t="s">
        <v>123</v>
      </c>
      <c r="E552">
        <v>79</v>
      </c>
      <c r="F552">
        <v>5.3579999999999997</v>
      </c>
      <c r="J552">
        <v>1.1539999999999999</v>
      </c>
      <c r="L552">
        <v>1.202</v>
      </c>
      <c r="M552">
        <v>0.879</v>
      </c>
      <c r="N552">
        <v>0.13100000000000001</v>
      </c>
      <c r="O552">
        <v>4.3999999999999997E-2</v>
      </c>
      <c r="P552">
        <v>0</v>
      </c>
      <c r="R552">
        <v>2018</v>
      </c>
    </row>
    <row r="553" spans="3:18" x14ac:dyDescent="0.35">
      <c r="C553" t="s">
        <v>124</v>
      </c>
      <c r="E553">
        <v>80</v>
      </c>
      <c r="F553">
        <v>5.3579999999999997</v>
      </c>
      <c r="J553">
        <v>0.96499999999999997</v>
      </c>
      <c r="L553">
        <v>1.179</v>
      </c>
      <c r="M553">
        <v>0.78500000000000003</v>
      </c>
      <c r="N553">
        <v>0.503</v>
      </c>
      <c r="O553">
        <v>0.13600000000000001</v>
      </c>
      <c r="P553">
        <v>0.214</v>
      </c>
      <c r="R553">
        <v>2018</v>
      </c>
    </row>
    <row r="554" spans="3:18" x14ac:dyDescent="0.35">
      <c r="C554" t="s">
        <v>104</v>
      </c>
      <c r="E554">
        <v>81</v>
      </c>
      <c r="F554">
        <v>5.3470000000000004</v>
      </c>
      <c r="J554">
        <v>1.0169999999999999</v>
      </c>
      <c r="L554">
        <v>1.2789999999999999</v>
      </c>
      <c r="M554">
        <v>0.72899999999999998</v>
      </c>
      <c r="N554">
        <v>0.25900000000000001</v>
      </c>
      <c r="O554">
        <v>8.1000000000000003E-2</v>
      </c>
      <c r="P554">
        <v>0.111</v>
      </c>
      <c r="R554">
        <v>2018</v>
      </c>
    </row>
    <row r="555" spans="3:18" x14ac:dyDescent="0.35">
      <c r="C555" t="s">
        <v>81</v>
      </c>
      <c r="E555">
        <v>82</v>
      </c>
      <c r="F555">
        <v>5.3209999999999997</v>
      </c>
      <c r="J555">
        <v>1.115</v>
      </c>
      <c r="L555">
        <v>1.161</v>
      </c>
      <c r="M555">
        <v>0.73699999999999999</v>
      </c>
      <c r="N555">
        <v>0.38</v>
      </c>
      <c r="O555">
        <v>3.9E-2</v>
      </c>
      <c r="P555">
        <v>0.12</v>
      </c>
      <c r="R555">
        <v>2018</v>
      </c>
    </row>
    <row r="556" spans="3:18" x14ac:dyDescent="0.35">
      <c r="C556" t="s">
        <v>119</v>
      </c>
      <c r="E556">
        <v>83</v>
      </c>
      <c r="F556">
        <v>5.3019999999999996</v>
      </c>
      <c r="J556">
        <v>0.98199999999999998</v>
      </c>
      <c r="L556">
        <v>1.4410000000000001</v>
      </c>
      <c r="M556">
        <v>0.61399999999999999</v>
      </c>
      <c r="N556">
        <v>0.57799999999999996</v>
      </c>
      <c r="O556">
        <v>0.106</v>
      </c>
      <c r="P556">
        <v>0.12</v>
      </c>
      <c r="R556">
        <v>2018</v>
      </c>
    </row>
    <row r="557" spans="3:18" x14ac:dyDescent="0.35">
      <c r="C557" t="s">
        <v>87</v>
      </c>
      <c r="E557">
        <v>84</v>
      </c>
      <c r="F557">
        <v>5.2949999999999999</v>
      </c>
      <c r="J557">
        <v>0.97899999999999998</v>
      </c>
      <c r="L557">
        <v>1.1539999999999999</v>
      </c>
      <c r="M557">
        <v>0.68700000000000006</v>
      </c>
      <c r="N557">
        <v>7.6999999999999999E-2</v>
      </c>
      <c r="O557">
        <v>0.13500000000000001</v>
      </c>
      <c r="P557">
        <v>5.5E-2</v>
      </c>
      <c r="R557">
        <v>2018</v>
      </c>
    </row>
    <row r="558" spans="3:18" x14ac:dyDescent="0.35">
      <c r="C558" t="s">
        <v>113</v>
      </c>
      <c r="E558">
        <v>85</v>
      </c>
      <c r="F558">
        <v>5.2539999999999996</v>
      </c>
      <c r="J558">
        <v>0.77900000000000003</v>
      </c>
      <c r="L558">
        <v>0.79700000000000004</v>
      </c>
      <c r="M558">
        <v>0.66900000000000004</v>
      </c>
      <c r="N558">
        <v>0.46</v>
      </c>
      <c r="O558">
        <v>7.3999999999999996E-2</v>
      </c>
      <c r="P558">
        <v>2.5999999999999999E-2</v>
      </c>
      <c r="R558">
        <v>2018</v>
      </c>
    </row>
    <row r="559" spans="3:18" x14ac:dyDescent="0.35">
      <c r="C559" t="s">
        <v>105</v>
      </c>
      <c r="E559">
        <v>86</v>
      </c>
      <c r="F559">
        <v>5.2460000000000004</v>
      </c>
      <c r="J559">
        <v>0.98899999999999999</v>
      </c>
      <c r="L559">
        <v>1.1419999999999999</v>
      </c>
      <c r="M559">
        <v>0.79900000000000004</v>
      </c>
      <c r="N559">
        <v>0.59699999999999998</v>
      </c>
      <c r="O559">
        <v>0.10299999999999999</v>
      </c>
      <c r="P559">
        <v>2.9000000000000001E-2</v>
      </c>
      <c r="R559">
        <v>2018</v>
      </c>
    </row>
    <row r="560" spans="3:18" x14ac:dyDescent="0.35">
      <c r="C560" t="s">
        <v>101</v>
      </c>
      <c r="E560">
        <v>87</v>
      </c>
      <c r="F560">
        <v>5.2009999999999996</v>
      </c>
      <c r="J560">
        <v>1.024</v>
      </c>
      <c r="L560">
        <v>1.161</v>
      </c>
      <c r="M560">
        <v>0.60299999999999998</v>
      </c>
      <c r="N560">
        <v>0.43</v>
      </c>
      <c r="O560">
        <v>0.17599999999999999</v>
      </c>
      <c r="P560">
        <v>3.1E-2</v>
      </c>
      <c r="R560">
        <v>2018</v>
      </c>
    </row>
    <row r="561" spans="3:18" x14ac:dyDescent="0.35">
      <c r="C561" t="s">
        <v>127</v>
      </c>
      <c r="E561">
        <v>88</v>
      </c>
      <c r="F561">
        <v>5.1989999999999998</v>
      </c>
      <c r="J561">
        <v>0.47399999999999998</v>
      </c>
      <c r="L561">
        <v>1.1659999999999999</v>
      </c>
      <c r="M561">
        <v>0.59799999999999998</v>
      </c>
      <c r="N561">
        <v>0.29199999999999998</v>
      </c>
      <c r="O561">
        <v>3.4000000000000002E-2</v>
      </c>
      <c r="P561">
        <v>0.187</v>
      </c>
      <c r="R561">
        <v>2018</v>
      </c>
    </row>
    <row r="562" spans="3:18" x14ac:dyDescent="0.35">
      <c r="C562" t="s">
        <v>114</v>
      </c>
      <c r="E562">
        <v>89</v>
      </c>
      <c r="F562">
        <v>5.1849999999999996</v>
      </c>
      <c r="J562">
        <v>0.95899999999999996</v>
      </c>
      <c r="L562">
        <v>1.2390000000000001</v>
      </c>
      <c r="M562">
        <v>0.69099999999999995</v>
      </c>
      <c r="N562">
        <v>0.39400000000000002</v>
      </c>
      <c r="O562">
        <v>5.1999999999999998E-2</v>
      </c>
      <c r="P562">
        <v>0.17299999999999999</v>
      </c>
      <c r="R562">
        <v>2018</v>
      </c>
    </row>
    <row r="563" spans="3:18" x14ac:dyDescent="0.35">
      <c r="C563" t="s">
        <v>103</v>
      </c>
      <c r="E563">
        <v>90</v>
      </c>
      <c r="F563">
        <v>5.1609999999999996</v>
      </c>
      <c r="J563">
        <v>0.82199999999999995</v>
      </c>
      <c r="L563">
        <v>1.2649999999999999</v>
      </c>
      <c r="M563">
        <v>0.64500000000000002</v>
      </c>
      <c r="N563">
        <v>0.46800000000000003</v>
      </c>
      <c r="O563">
        <v>0.13400000000000001</v>
      </c>
      <c r="P563">
        <v>0.13</v>
      </c>
      <c r="R563">
        <v>2018</v>
      </c>
    </row>
    <row r="564" spans="3:18" x14ac:dyDescent="0.35">
      <c r="C564" t="s">
        <v>98</v>
      </c>
      <c r="E564">
        <v>91</v>
      </c>
      <c r="F564">
        <v>5.1550000000000002</v>
      </c>
      <c r="J564">
        <v>0.68899999999999995</v>
      </c>
      <c r="L564">
        <v>1.1719999999999999</v>
      </c>
      <c r="M564">
        <v>4.8000000000000001E-2</v>
      </c>
      <c r="N564">
        <v>0.46200000000000002</v>
      </c>
      <c r="O564">
        <v>3.2000000000000001E-2</v>
      </c>
      <c r="P564">
        <v>0.20100000000000001</v>
      </c>
      <c r="R564">
        <v>2018</v>
      </c>
    </row>
    <row r="565" spans="3:18" x14ac:dyDescent="0.35">
      <c r="C565" t="s">
        <v>97</v>
      </c>
      <c r="E565">
        <v>92</v>
      </c>
      <c r="F565">
        <v>5.1310000000000002</v>
      </c>
      <c r="J565">
        <v>0.53</v>
      </c>
      <c r="L565">
        <v>1.4159999999999999</v>
      </c>
      <c r="M565">
        <v>0.59399999999999997</v>
      </c>
      <c r="N565">
        <v>0.54</v>
      </c>
      <c r="O565">
        <v>3.5000000000000003E-2</v>
      </c>
      <c r="P565">
        <v>0.28100000000000003</v>
      </c>
      <c r="R565">
        <v>2018</v>
      </c>
    </row>
    <row r="566" spans="3:18" x14ac:dyDescent="0.35">
      <c r="C566" t="s">
        <v>117</v>
      </c>
      <c r="E566">
        <v>93</v>
      </c>
      <c r="F566">
        <v>5.1289999999999996</v>
      </c>
      <c r="J566">
        <v>0.91500000000000004</v>
      </c>
      <c r="L566">
        <v>1.0780000000000001</v>
      </c>
      <c r="M566">
        <v>0.75800000000000001</v>
      </c>
      <c r="N566">
        <v>0.28000000000000003</v>
      </c>
      <c r="O566">
        <v>0</v>
      </c>
      <c r="P566">
        <v>0.216</v>
      </c>
      <c r="R566">
        <v>2018</v>
      </c>
    </row>
    <row r="567" spans="3:18" x14ac:dyDescent="0.35">
      <c r="C567" t="s">
        <v>121</v>
      </c>
      <c r="E567">
        <v>94</v>
      </c>
      <c r="F567">
        <v>5.125</v>
      </c>
      <c r="J567">
        <v>0.91400000000000003</v>
      </c>
      <c r="L567">
        <v>1.5169999999999999</v>
      </c>
      <c r="M567">
        <v>0.57499999999999996</v>
      </c>
      <c r="N567">
        <v>0.39500000000000002</v>
      </c>
      <c r="O567">
        <v>3.2000000000000001E-2</v>
      </c>
      <c r="P567">
        <v>0.253</v>
      </c>
      <c r="R567">
        <v>2018</v>
      </c>
    </row>
    <row r="568" spans="3:18" x14ac:dyDescent="0.35">
      <c r="C568" t="s">
        <v>95</v>
      </c>
      <c r="E568">
        <v>95</v>
      </c>
      <c r="F568">
        <v>5.1029999999999998</v>
      </c>
      <c r="J568">
        <v>0.71499999999999997</v>
      </c>
      <c r="L568">
        <v>1.365</v>
      </c>
      <c r="M568">
        <v>0.70199999999999996</v>
      </c>
      <c r="N568">
        <v>0.61799999999999999</v>
      </c>
      <c r="O568">
        <v>7.9000000000000001E-2</v>
      </c>
      <c r="P568">
        <v>0.17699999999999999</v>
      </c>
      <c r="R568">
        <v>2018</v>
      </c>
    </row>
    <row r="569" spans="3:18" x14ac:dyDescent="0.35">
      <c r="C569" t="s">
        <v>94</v>
      </c>
      <c r="E569">
        <v>96</v>
      </c>
      <c r="F569">
        <v>5.093</v>
      </c>
      <c r="J569">
        <v>0.89900000000000002</v>
      </c>
      <c r="L569">
        <v>1.2150000000000001</v>
      </c>
      <c r="M569">
        <v>0.52200000000000002</v>
      </c>
      <c r="N569">
        <v>0.53800000000000003</v>
      </c>
      <c r="O569">
        <v>1.7999999999999999E-2</v>
      </c>
      <c r="P569">
        <v>0.48399999999999999</v>
      </c>
      <c r="R569">
        <v>2018</v>
      </c>
    </row>
    <row r="570" spans="3:18" x14ac:dyDescent="0.35">
      <c r="C570" t="s">
        <v>99</v>
      </c>
      <c r="E570">
        <v>97</v>
      </c>
      <c r="F570">
        <v>5.0819999999999999</v>
      </c>
      <c r="J570">
        <v>0.79600000000000004</v>
      </c>
      <c r="L570">
        <v>1.335</v>
      </c>
      <c r="M570">
        <v>0.52700000000000002</v>
      </c>
      <c r="N570">
        <v>0.54100000000000004</v>
      </c>
      <c r="O570">
        <v>0.17100000000000001</v>
      </c>
      <c r="P570">
        <v>0.36399999999999999</v>
      </c>
      <c r="R570">
        <v>2018</v>
      </c>
    </row>
    <row r="571" spans="3:18" x14ac:dyDescent="0.35">
      <c r="C571" t="s">
        <v>209</v>
      </c>
      <c r="E571">
        <v>98</v>
      </c>
      <c r="F571">
        <v>4.9820000000000002</v>
      </c>
      <c r="J571">
        <v>0</v>
      </c>
      <c r="L571">
        <v>0.71199999999999997</v>
      </c>
      <c r="M571">
        <v>0.115</v>
      </c>
      <c r="N571">
        <v>0.67400000000000004</v>
      </c>
      <c r="O571">
        <v>0.28199999999999997</v>
      </c>
      <c r="P571">
        <v>0.23799999999999999</v>
      </c>
      <c r="R571">
        <v>2018</v>
      </c>
    </row>
    <row r="572" spans="3:18" x14ac:dyDescent="0.35">
      <c r="C572" t="s">
        <v>154</v>
      </c>
      <c r="E572">
        <v>99</v>
      </c>
      <c r="F572">
        <v>4.9749999999999996</v>
      </c>
      <c r="J572">
        <v>0.53500000000000003</v>
      </c>
      <c r="L572">
        <v>0.89100000000000001</v>
      </c>
      <c r="M572">
        <v>0.182</v>
      </c>
      <c r="N572">
        <v>0.45400000000000001</v>
      </c>
      <c r="O572">
        <v>4.2999999999999997E-2</v>
      </c>
      <c r="P572">
        <v>0.183</v>
      </c>
      <c r="R572">
        <v>2018</v>
      </c>
    </row>
    <row r="573" spans="3:18" x14ac:dyDescent="0.35">
      <c r="C573" t="s">
        <v>155</v>
      </c>
      <c r="E573">
        <v>100</v>
      </c>
      <c r="F573">
        <v>4.9329999999999998</v>
      </c>
      <c r="J573">
        <v>1.054</v>
      </c>
      <c r="L573">
        <v>1.5149999999999999</v>
      </c>
      <c r="M573">
        <v>0.71199999999999997</v>
      </c>
      <c r="N573">
        <v>0.35899999999999999</v>
      </c>
      <c r="O573">
        <v>8.9999999999999993E-3</v>
      </c>
      <c r="P573">
        <v>6.4000000000000001E-2</v>
      </c>
      <c r="R573">
        <v>2018</v>
      </c>
    </row>
    <row r="574" spans="3:18" x14ac:dyDescent="0.35">
      <c r="C574" t="s">
        <v>142</v>
      </c>
      <c r="E574">
        <v>101</v>
      </c>
      <c r="F574">
        <v>4.88</v>
      </c>
      <c r="J574">
        <v>0.42499999999999999</v>
      </c>
      <c r="L574">
        <v>1.228</v>
      </c>
      <c r="M574">
        <v>0.53900000000000003</v>
      </c>
      <c r="N574">
        <v>0.52600000000000002</v>
      </c>
      <c r="O574">
        <v>7.8E-2</v>
      </c>
      <c r="P574">
        <v>0.30199999999999999</v>
      </c>
      <c r="R574">
        <v>2018</v>
      </c>
    </row>
    <row r="575" spans="3:18" x14ac:dyDescent="0.35">
      <c r="C575" t="s">
        <v>39</v>
      </c>
      <c r="E575">
        <v>102</v>
      </c>
      <c r="F575">
        <v>4.806</v>
      </c>
      <c r="J575">
        <v>0.996</v>
      </c>
      <c r="L575">
        <v>1.4690000000000001</v>
      </c>
      <c r="M575">
        <v>0.65700000000000003</v>
      </c>
      <c r="N575">
        <v>0.13300000000000001</v>
      </c>
      <c r="O575">
        <v>5.1999999999999998E-2</v>
      </c>
      <c r="P575">
        <v>5.6000000000000001E-2</v>
      </c>
      <c r="R575">
        <v>2018</v>
      </c>
    </row>
    <row r="576" spans="3:18" x14ac:dyDescent="0.35">
      <c r="C576" t="s">
        <v>164</v>
      </c>
      <c r="E576">
        <v>103</v>
      </c>
      <c r="F576">
        <v>4.758</v>
      </c>
      <c r="J576">
        <v>1.036</v>
      </c>
      <c r="L576">
        <v>1.1639999999999999</v>
      </c>
      <c r="M576">
        <v>0.40400000000000003</v>
      </c>
      <c r="N576">
        <v>0.35599999999999998</v>
      </c>
      <c r="O576">
        <v>5.1999999999999998E-2</v>
      </c>
      <c r="P576">
        <v>3.2000000000000001E-2</v>
      </c>
      <c r="R576">
        <v>2018</v>
      </c>
    </row>
    <row r="577" spans="3:18" x14ac:dyDescent="0.35">
      <c r="C577" t="s">
        <v>129</v>
      </c>
      <c r="E577">
        <v>104</v>
      </c>
      <c r="F577">
        <v>4.7430000000000003</v>
      </c>
      <c r="J577">
        <v>0.64200000000000002</v>
      </c>
      <c r="L577">
        <v>1.2170000000000001</v>
      </c>
      <c r="M577">
        <v>0.60199999999999998</v>
      </c>
      <c r="N577">
        <v>0.26600000000000001</v>
      </c>
      <c r="O577">
        <v>7.5999999999999998E-2</v>
      </c>
      <c r="P577">
        <v>8.5999999999999993E-2</v>
      </c>
      <c r="R577">
        <v>2018</v>
      </c>
    </row>
    <row r="578" spans="3:18" x14ac:dyDescent="0.35">
      <c r="C578" t="s">
        <v>134</v>
      </c>
      <c r="E578">
        <v>105</v>
      </c>
      <c r="F578">
        <v>4.7240000000000002</v>
      </c>
      <c r="J578">
        <v>0.94</v>
      </c>
      <c r="L578">
        <v>1.41</v>
      </c>
      <c r="M578">
        <v>0.33</v>
      </c>
      <c r="N578">
        <v>0.51600000000000001</v>
      </c>
      <c r="O578">
        <v>5.6000000000000001E-2</v>
      </c>
      <c r="P578">
        <v>0.10299999999999999</v>
      </c>
      <c r="R578">
        <v>2018</v>
      </c>
    </row>
    <row r="579" spans="3:18" x14ac:dyDescent="0.35">
      <c r="C579" t="s">
        <v>131</v>
      </c>
      <c r="E579">
        <v>106</v>
      </c>
      <c r="F579">
        <v>4.7069999999999999</v>
      </c>
      <c r="J579">
        <v>1.0589999999999999</v>
      </c>
      <c r="L579">
        <v>0.77100000000000002</v>
      </c>
      <c r="M579">
        <v>0.69099999999999995</v>
      </c>
      <c r="N579">
        <v>0.45900000000000002</v>
      </c>
      <c r="O579">
        <v>0.129</v>
      </c>
      <c r="P579">
        <v>0.28199999999999997</v>
      </c>
      <c r="R579">
        <v>2018</v>
      </c>
    </row>
    <row r="580" spans="3:18" x14ac:dyDescent="0.35">
      <c r="C580" t="s">
        <v>172</v>
      </c>
      <c r="E580">
        <v>107</v>
      </c>
      <c r="F580">
        <v>4.6710000000000003</v>
      </c>
      <c r="J580">
        <v>0.54100000000000004</v>
      </c>
      <c r="L580">
        <v>0.872</v>
      </c>
      <c r="M580">
        <v>0.08</v>
      </c>
      <c r="N580">
        <v>0.46700000000000003</v>
      </c>
      <c r="O580">
        <v>0.10299999999999999</v>
      </c>
      <c r="P580">
        <v>0.14599999999999999</v>
      </c>
      <c r="R580">
        <v>2018</v>
      </c>
    </row>
    <row r="581" spans="3:18" x14ac:dyDescent="0.35">
      <c r="C581" t="s">
        <v>135</v>
      </c>
      <c r="E581">
        <v>108</v>
      </c>
      <c r="F581">
        <v>4.657</v>
      </c>
      <c r="J581">
        <v>0.59199999999999997</v>
      </c>
      <c r="L581">
        <v>0.89600000000000002</v>
      </c>
      <c r="M581">
        <v>0.33700000000000002</v>
      </c>
      <c r="N581">
        <v>0.499</v>
      </c>
      <c r="O581">
        <v>2.9000000000000001E-2</v>
      </c>
      <c r="P581">
        <v>0.21199999999999999</v>
      </c>
      <c r="R581">
        <v>2018</v>
      </c>
    </row>
    <row r="582" spans="3:18" x14ac:dyDescent="0.35">
      <c r="C582" t="s">
        <v>163</v>
      </c>
      <c r="E582">
        <v>109</v>
      </c>
      <c r="F582">
        <v>4.6310000000000002</v>
      </c>
      <c r="J582">
        <v>0.42899999999999999</v>
      </c>
      <c r="L582">
        <v>1.117</v>
      </c>
      <c r="M582">
        <v>0.433</v>
      </c>
      <c r="N582">
        <v>0.40600000000000003</v>
      </c>
      <c r="O582">
        <v>8.2000000000000003E-2</v>
      </c>
      <c r="P582">
        <v>0.13800000000000001</v>
      </c>
      <c r="R582">
        <v>2018</v>
      </c>
    </row>
    <row r="583" spans="3:18" x14ac:dyDescent="0.35">
      <c r="C583" t="s">
        <v>120</v>
      </c>
      <c r="E583">
        <v>110</v>
      </c>
      <c r="F583">
        <v>4.6230000000000002</v>
      </c>
      <c r="J583">
        <v>0.72</v>
      </c>
      <c r="L583">
        <v>1.034</v>
      </c>
      <c r="M583">
        <v>0.441</v>
      </c>
      <c r="N583">
        <v>0.626</v>
      </c>
      <c r="O583">
        <v>0.17399999999999999</v>
      </c>
      <c r="P583">
        <v>0.23</v>
      </c>
      <c r="R583">
        <v>2018</v>
      </c>
    </row>
    <row r="584" spans="3:18" x14ac:dyDescent="0.35">
      <c r="C584" t="s">
        <v>128</v>
      </c>
      <c r="E584">
        <v>111</v>
      </c>
      <c r="F584">
        <v>4.5919999999999996</v>
      </c>
      <c r="J584">
        <v>0.9</v>
      </c>
      <c r="L584">
        <v>0.90600000000000003</v>
      </c>
      <c r="M584">
        <v>0.69</v>
      </c>
      <c r="N584">
        <v>0.27100000000000002</v>
      </c>
      <c r="O584">
        <v>6.3E-2</v>
      </c>
      <c r="P584">
        <v>0.04</v>
      </c>
      <c r="R584">
        <v>2018</v>
      </c>
    </row>
    <row r="585" spans="3:18" x14ac:dyDescent="0.35">
      <c r="C585" t="s">
        <v>116</v>
      </c>
      <c r="E585">
        <v>112</v>
      </c>
      <c r="F585">
        <v>4.5860000000000003</v>
      </c>
      <c r="J585">
        <v>0.91600000000000004</v>
      </c>
      <c r="L585">
        <v>0.81699999999999995</v>
      </c>
      <c r="M585">
        <v>0.79</v>
      </c>
      <c r="N585">
        <v>0.41899999999999998</v>
      </c>
      <c r="O585">
        <v>3.2000000000000001E-2</v>
      </c>
      <c r="P585">
        <v>0.14899999999999999</v>
      </c>
      <c r="R585">
        <v>2018</v>
      </c>
    </row>
    <row r="586" spans="3:18" x14ac:dyDescent="0.35">
      <c r="C586" t="s">
        <v>144</v>
      </c>
      <c r="E586">
        <v>113</v>
      </c>
      <c r="F586">
        <v>4.5709999999999997</v>
      </c>
      <c r="J586">
        <v>0.25600000000000001</v>
      </c>
      <c r="L586">
        <v>0.81299999999999994</v>
      </c>
      <c r="M586">
        <v>0</v>
      </c>
      <c r="N586">
        <v>0.35499999999999998</v>
      </c>
      <c r="O586">
        <v>5.2999999999999999E-2</v>
      </c>
      <c r="P586">
        <v>0.23799999999999999</v>
      </c>
      <c r="R586">
        <v>2018</v>
      </c>
    </row>
    <row r="587" spans="3:18" x14ac:dyDescent="0.35">
      <c r="C587" t="s">
        <v>160</v>
      </c>
      <c r="E587">
        <v>114</v>
      </c>
      <c r="F587">
        <v>4.5590000000000002</v>
      </c>
      <c r="J587">
        <v>0.68200000000000005</v>
      </c>
      <c r="L587">
        <v>0.81100000000000005</v>
      </c>
      <c r="M587">
        <v>0.34300000000000003</v>
      </c>
      <c r="N587">
        <v>0.51400000000000001</v>
      </c>
      <c r="O587">
        <v>7.6999999999999999E-2</v>
      </c>
      <c r="P587">
        <v>9.0999999999999998E-2</v>
      </c>
      <c r="R587">
        <v>2018</v>
      </c>
    </row>
    <row r="588" spans="3:18" x14ac:dyDescent="0.35">
      <c r="C588" t="s">
        <v>130</v>
      </c>
      <c r="E588">
        <v>115</v>
      </c>
      <c r="F588">
        <v>4.5</v>
      </c>
      <c r="J588">
        <v>0.53200000000000003</v>
      </c>
      <c r="L588">
        <v>0.85</v>
      </c>
      <c r="M588">
        <v>0.57899999999999996</v>
      </c>
      <c r="N588">
        <v>0.57999999999999996</v>
      </c>
      <c r="O588">
        <v>0.14399999999999999</v>
      </c>
      <c r="P588">
        <v>0.153</v>
      </c>
      <c r="R588">
        <v>2018</v>
      </c>
    </row>
    <row r="589" spans="3:18" x14ac:dyDescent="0.35">
      <c r="C589" t="s">
        <v>153</v>
      </c>
      <c r="E589">
        <v>116</v>
      </c>
      <c r="F589">
        <v>4.4710000000000001</v>
      </c>
      <c r="J589">
        <v>0.91800000000000004</v>
      </c>
      <c r="L589">
        <v>1.3140000000000001</v>
      </c>
      <c r="M589">
        <v>0.67200000000000004</v>
      </c>
      <c r="N589">
        <v>0.58499999999999996</v>
      </c>
      <c r="O589">
        <v>0.05</v>
      </c>
      <c r="P589">
        <v>0.307</v>
      </c>
      <c r="R589">
        <v>2018</v>
      </c>
    </row>
    <row r="590" spans="3:18" x14ac:dyDescent="0.35">
      <c r="C590" t="s">
        <v>133</v>
      </c>
      <c r="E590">
        <v>117</v>
      </c>
      <c r="F590">
        <v>4.4560000000000004</v>
      </c>
      <c r="J590">
        <v>1.01</v>
      </c>
      <c r="L590">
        <v>0.97099999999999997</v>
      </c>
      <c r="M590">
        <v>0.53600000000000003</v>
      </c>
      <c r="N590">
        <v>0.30399999999999999</v>
      </c>
      <c r="O590">
        <v>9.5000000000000001E-2</v>
      </c>
      <c r="P590">
        <v>0.14799999999999999</v>
      </c>
      <c r="R590">
        <v>2018</v>
      </c>
    </row>
    <row r="591" spans="3:18" x14ac:dyDescent="0.35">
      <c r="C591" t="s">
        <v>159</v>
      </c>
      <c r="E591">
        <v>118</v>
      </c>
      <c r="F591">
        <v>4.4470000000000001</v>
      </c>
      <c r="J591">
        <v>0.37</v>
      </c>
      <c r="L591">
        <v>1.2330000000000001</v>
      </c>
      <c r="M591">
        <v>0.152</v>
      </c>
      <c r="N591">
        <v>0.36699999999999999</v>
      </c>
      <c r="O591">
        <v>5.6000000000000001E-2</v>
      </c>
      <c r="P591">
        <v>0.13900000000000001</v>
      </c>
      <c r="R591">
        <v>2018</v>
      </c>
    </row>
    <row r="592" spans="3:18" x14ac:dyDescent="0.35">
      <c r="C592" t="s">
        <v>211</v>
      </c>
      <c r="E592">
        <v>119</v>
      </c>
      <c r="F592">
        <v>4.4409999999999998</v>
      </c>
      <c r="J592">
        <v>0.874</v>
      </c>
      <c r="L592">
        <v>1.2809999999999999</v>
      </c>
      <c r="M592">
        <v>0.36499999999999999</v>
      </c>
      <c r="N592">
        <v>0.51900000000000002</v>
      </c>
      <c r="O592">
        <v>6.4000000000000001E-2</v>
      </c>
      <c r="P592">
        <v>5.0999999999999997E-2</v>
      </c>
      <c r="R592">
        <v>2018</v>
      </c>
    </row>
    <row r="593" spans="3:18" x14ac:dyDescent="0.35">
      <c r="C593" t="s">
        <v>166</v>
      </c>
      <c r="E593">
        <v>120</v>
      </c>
      <c r="F593">
        <v>4.4329999999999998</v>
      </c>
      <c r="J593">
        <v>0.54900000000000004</v>
      </c>
      <c r="L593">
        <v>1.0880000000000001</v>
      </c>
      <c r="M593">
        <v>0.45700000000000002</v>
      </c>
      <c r="N593">
        <v>0.69599999999999995</v>
      </c>
      <c r="O593">
        <v>6.5000000000000002E-2</v>
      </c>
      <c r="P593">
        <v>0.25600000000000001</v>
      </c>
      <c r="R593">
        <v>2018</v>
      </c>
    </row>
    <row r="594" spans="3:18" x14ac:dyDescent="0.35">
      <c r="C594" t="s">
        <v>173</v>
      </c>
      <c r="E594">
        <v>121</v>
      </c>
      <c r="F594">
        <v>4.4240000000000004</v>
      </c>
      <c r="J594">
        <v>0.314</v>
      </c>
      <c r="L594">
        <v>1.097</v>
      </c>
      <c r="M594">
        <v>0.254</v>
      </c>
      <c r="N594">
        <v>0.312</v>
      </c>
      <c r="O594">
        <v>0.128</v>
      </c>
      <c r="P594">
        <v>0.17499999999999999</v>
      </c>
      <c r="R594">
        <v>2018</v>
      </c>
    </row>
    <row r="595" spans="3:18" x14ac:dyDescent="0.35">
      <c r="C595" t="s">
        <v>156</v>
      </c>
      <c r="E595">
        <v>122</v>
      </c>
      <c r="F595">
        <v>4.4189999999999996</v>
      </c>
      <c r="J595">
        <v>0.88500000000000001</v>
      </c>
      <c r="L595">
        <v>1.0249999999999999</v>
      </c>
      <c r="M595">
        <v>0.55300000000000005</v>
      </c>
      <c r="N595">
        <v>0.312</v>
      </c>
      <c r="O595">
        <v>0.107</v>
      </c>
      <c r="P595">
        <v>9.1999999999999998E-2</v>
      </c>
      <c r="R595">
        <v>2018</v>
      </c>
    </row>
    <row r="596" spans="3:18" x14ac:dyDescent="0.35">
      <c r="C596" t="s">
        <v>115</v>
      </c>
      <c r="E596">
        <v>123</v>
      </c>
      <c r="F596">
        <v>4.4169999999999998</v>
      </c>
      <c r="J596">
        <v>0.19800000000000001</v>
      </c>
      <c r="L596">
        <v>0.90200000000000002</v>
      </c>
      <c r="M596">
        <v>0.17299999999999999</v>
      </c>
      <c r="N596">
        <v>0.53100000000000003</v>
      </c>
      <c r="O596">
        <v>0.158</v>
      </c>
      <c r="P596">
        <v>0.20599999999999999</v>
      </c>
      <c r="R596">
        <v>2018</v>
      </c>
    </row>
    <row r="597" spans="3:18" x14ac:dyDescent="0.35">
      <c r="C597" t="s">
        <v>146</v>
      </c>
      <c r="E597">
        <v>124</v>
      </c>
      <c r="F597">
        <v>4.41</v>
      </c>
      <c r="J597">
        <v>0.49299999999999999</v>
      </c>
      <c r="L597">
        <v>1.048</v>
      </c>
      <c r="M597">
        <v>0.45400000000000001</v>
      </c>
      <c r="N597">
        <v>0.504</v>
      </c>
      <c r="O597">
        <v>5.5E-2</v>
      </c>
      <c r="P597">
        <v>0.35199999999999998</v>
      </c>
      <c r="R597">
        <v>2018</v>
      </c>
    </row>
    <row r="598" spans="3:18" x14ac:dyDescent="0.35">
      <c r="C598" t="s">
        <v>106</v>
      </c>
      <c r="E598">
        <v>125</v>
      </c>
      <c r="F598">
        <v>4.3769999999999998</v>
      </c>
      <c r="J598">
        <v>0.56200000000000006</v>
      </c>
      <c r="L598">
        <v>1.0469999999999999</v>
      </c>
      <c r="M598">
        <v>0.29499999999999998</v>
      </c>
      <c r="N598">
        <v>0.503</v>
      </c>
      <c r="O598">
        <v>8.2000000000000003E-2</v>
      </c>
      <c r="P598">
        <v>0.221</v>
      </c>
      <c r="R598">
        <v>2018</v>
      </c>
    </row>
    <row r="599" spans="3:18" x14ac:dyDescent="0.35">
      <c r="C599" t="s">
        <v>145</v>
      </c>
      <c r="E599">
        <v>126</v>
      </c>
      <c r="F599">
        <v>4.3559999999999999</v>
      </c>
      <c r="J599">
        <v>0.55700000000000005</v>
      </c>
      <c r="L599">
        <v>1.2450000000000001</v>
      </c>
      <c r="M599">
        <v>0.29199999999999998</v>
      </c>
      <c r="N599">
        <v>0.129</v>
      </c>
      <c r="O599">
        <v>9.2999999999999999E-2</v>
      </c>
      <c r="P599">
        <v>0.13400000000000001</v>
      </c>
      <c r="R599">
        <v>2018</v>
      </c>
    </row>
    <row r="600" spans="3:18" x14ac:dyDescent="0.35">
      <c r="C600" t="s">
        <v>143</v>
      </c>
      <c r="E600">
        <v>127</v>
      </c>
      <c r="F600">
        <v>4.3499999999999996</v>
      </c>
      <c r="J600">
        <v>0.308</v>
      </c>
      <c r="L600">
        <v>0.95</v>
      </c>
      <c r="M600">
        <v>0.39100000000000001</v>
      </c>
      <c r="N600">
        <v>0.45200000000000001</v>
      </c>
      <c r="O600">
        <v>0.14599999999999999</v>
      </c>
      <c r="P600">
        <v>0.22</v>
      </c>
      <c r="R600">
        <v>2018</v>
      </c>
    </row>
    <row r="601" spans="3:18" x14ac:dyDescent="0.35">
      <c r="C601" t="s">
        <v>151</v>
      </c>
      <c r="E601">
        <v>128</v>
      </c>
      <c r="F601">
        <v>4.34</v>
      </c>
      <c r="J601">
        <v>0.85299999999999998</v>
      </c>
      <c r="L601">
        <v>0.59199999999999997</v>
      </c>
      <c r="M601">
        <v>0.64300000000000002</v>
      </c>
      <c r="N601">
        <v>0.375</v>
      </c>
      <c r="O601">
        <v>0.215</v>
      </c>
      <c r="P601">
        <v>3.7999999999999999E-2</v>
      </c>
      <c r="R601">
        <v>2018</v>
      </c>
    </row>
    <row r="602" spans="3:18" x14ac:dyDescent="0.35">
      <c r="C602" t="s">
        <v>148</v>
      </c>
      <c r="E602">
        <v>129</v>
      </c>
      <c r="F602">
        <v>4.3209999999999997</v>
      </c>
      <c r="J602">
        <v>0.81599999999999995</v>
      </c>
      <c r="L602">
        <v>0.99</v>
      </c>
      <c r="M602">
        <v>0.66600000000000004</v>
      </c>
      <c r="N602">
        <v>0.26</v>
      </c>
      <c r="O602">
        <v>2.8000000000000001E-2</v>
      </c>
      <c r="P602">
        <v>7.6999999999999999E-2</v>
      </c>
      <c r="R602">
        <v>2018</v>
      </c>
    </row>
    <row r="603" spans="3:18" x14ac:dyDescent="0.35">
      <c r="C603" t="s">
        <v>150</v>
      </c>
      <c r="E603">
        <v>130</v>
      </c>
      <c r="F603">
        <v>4.3079999999999998</v>
      </c>
      <c r="J603">
        <v>0.68200000000000005</v>
      </c>
      <c r="L603">
        <v>1.1739999999999999</v>
      </c>
      <c r="M603">
        <v>0.42899999999999999</v>
      </c>
      <c r="N603">
        <v>0.57999999999999996</v>
      </c>
      <c r="O603">
        <v>0.17799999999999999</v>
      </c>
      <c r="P603">
        <v>0.59799999999999998</v>
      </c>
      <c r="R603">
        <v>2018</v>
      </c>
    </row>
    <row r="604" spans="3:18" x14ac:dyDescent="0.35">
      <c r="C604" t="s">
        <v>170</v>
      </c>
      <c r="E604">
        <v>131</v>
      </c>
      <c r="F604">
        <v>4.3010000000000002</v>
      </c>
      <c r="J604">
        <v>0.35799999999999998</v>
      </c>
      <c r="L604">
        <v>0.90700000000000003</v>
      </c>
      <c r="M604">
        <v>5.2999999999999999E-2</v>
      </c>
      <c r="N604">
        <v>0.189</v>
      </c>
      <c r="O604">
        <v>0.06</v>
      </c>
      <c r="P604">
        <v>0.18099999999999999</v>
      </c>
      <c r="R604">
        <v>2018</v>
      </c>
    </row>
    <row r="605" spans="3:18" x14ac:dyDescent="0.35">
      <c r="C605" t="s">
        <v>141</v>
      </c>
      <c r="E605">
        <v>132</v>
      </c>
      <c r="F605">
        <v>4.2450000000000001</v>
      </c>
      <c r="J605">
        <v>6.9000000000000006E-2</v>
      </c>
      <c r="L605">
        <v>1.1359999999999999</v>
      </c>
      <c r="M605">
        <v>0.20399999999999999</v>
      </c>
      <c r="N605">
        <v>0.312</v>
      </c>
      <c r="O605">
        <v>5.1999999999999998E-2</v>
      </c>
      <c r="P605">
        <v>0.19700000000000001</v>
      </c>
      <c r="R605">
        <v>2018</v>
      </c>
    </row>
    <row r="606" spans="3:18" x14ac:dyDescent="0.35">
      <c r="C606" t="s">
        <v>138</v>
      </c>
      <c r="E606">
        <v>133</v>
      </c>
      <c r="F606">
        <v>4.1900000000000004</v>
      </c>
      <c r="J606">
        <v>0.72099999999999997</v>
      </c>
      <c r="L606">
        <v>0.747</v>
      </c>
      <c r="M606">
        <v>0.48499999999999999</v>
      </c>
      <c r="N606">
        <v>0.53900000000000003</v>
      </c>
      <c r="O606">
        <v>9.2999999999999999E-2</v>
      </c>
      <c r="P606">
        <v>0.17199999999999999</v>
      </c>
      <c r="R606">
        <v>2018</v>
      </c>
    </row>
    <row r="607" spans="3:18" x14ac:dyDescent="0.35">
      <c r="C607" t="s">
        <v>165</v>
      </c>
      <c r="E607">
        <v>134</v>
      </c>
      <c r="F607">
        <v>4.1660000000000004</v>
      </c>
      <c r="J607">
        <v>0.13100000000000001</v>
      </c>
      <c r="L607">
        <v>0.86699999999999999</v>
      </c>
      <c r="M607">
        <v>0.221</v>
      </c>
      <c r="N607">
        <v>0.39</v>
      </c>
      <c r="O607">
        <v>9.9000000000000005E-2</v>
      </c>
      <c r="P607">
        <v>0.17499999999999999</v>
      </c>
      <c r="R607">
        <v>2018</v>
      </c>
    </row>
    <row r="608" spans="3:18" x14ac:dyDescent="0.35">
      <c r="C608" t="s">
        <v>162</v>
      </c>
      <c r="E608">
        <v>135</v>
      </c>
      <c r="F608">
        <v>4.1609999999999996</v>
      </c>
      <c r="J608">
        <v>0.32200000000000001</v>
      </c>
      <c r="L608">
        <v>1.0900000000000001</v>
      </c>
      <c r="M608">
        <v>0.23699999999999999</v>
      </c>
      <c r="N608">
        <v>0.45</v>
      </c>
      <c r="O608">
        <v>6.0999999999999999E-2</v>
      </c>
      <c r="P608">
        <v>0.25900000000000001</v>
      </c>
      <c r="R608">
        <v>2018</v>
      </c>
    </row>
    <row r="609" spans="3:18" x14ac:dyDescent="0.35">
      <c r="C609" t="s">
        <v>176</v>
      </c>
      <c r="E609">
        <v>136</v>
      </c>
      <c r="F609">
        <v>4.141</v>
      </c>
      <c r="J609">
        <v>0.378</v>
      </c>
      <c r="L609">
        <v>0.372</v>
      </c>
      <c r="M609">
        <v>0.24</v>
      </c>
      <c r="N609">
        <v>0.44</v>
      </c>
      <c r="O609">
        <v>6.7000000000000004E-2</v>
      </c>
      <c r="P609">
        <v>0.16300000000000001</v>
      </c>
      <c r="R609">
        <v>2018</v>
      </c>
    </row>
    <row r="610" spans="3:18" x14ac:dyDescent="0.35">
      <c r="C610" t="s">
        <v>139</v>
      </c>
      <c r="E610">
        <v>137</v>
      </c>
      <c r="F610">
        <v>4.1390000000000002</v>
      </c>
      <c r="J610">
        <v>0.60499999999999998</v>
      </c>
      <c r="L610">
        <v>1.24</v>
      </c>
      <c r="M610">
        <v>0.312</v>
      </c>
      <c r="N610">
        <v>1.6E-2</v>
      </c>
      <c r="O610">
        <v>8.2000000000000003E-2</v>
      </c>
      <c r="P610">
        <v>0.13400000000000001</v>
      </c>
      <c r="R610">
        <v>2018</v>
      </c>
    </row>
    <row r="611" spans="3:18" x14ac:dyDescent="0.35">
      <c r="C611" t="s">
        <v>132</v>
      </c>
      <c r="E611">
        <v>138</v>
      </c>
      <c r="F611">
        <v>4.1029999999999998</v>
      </c>
      <c r="J611">
        <v>0.79300000000000004</v>
      </c>
      <c r="L611">
        <v>1.413</v>
      </c>
      <c r="M611">
        <v>0.60899999999999999</v>
      </c>
      <c r="N611">
        <v>0.16300000000000001</v>
      </c>
      <c r="O611">
        <v>1.0999999999999999E-2</v>
      </c>
      <c r="P611">
        <v>0.187</v>
      </c>
      <c r="R611">
        <v>2018</v>
      </c>
    </row>
    <row r="612" spans="3:18" x14ac:dyDescent="0.35">
      <c r="C612" t="s">
        <v>179</v>
      </c>
      <c r="E612">
        <v>139</v>
      </c>
      <c r="F612">
        <v>3.9990000000000001</v>
      </c>
      <c r="J612">
        <v>0.25900000000000001</v>
      </c>
      <c r="L612">
        <v>0.47399999999999998</v>
      </c>
      <c r="M612">
        <v>0.253</v>
      </c>
      <c r="N612">
        <v>0.434</v>
      </c>
      <c r="O612">
        <v>0.10100000000000001</v>
      </c>
      <c r="P612">
        <v>0.158</v>
      </c>
      <c r="R612">
        <v>2018</v>
      </c>
    </row>
    <row r="613" spans="3:18" x14ac:dyDescent="0.35">
      <c r="C613" t="s">
        <v>171</v>
      </c>
      <c r="E613">
        <v>140</v>
      </c>
      <c r="F613">
        <v>3.964</v>
      </c>
      <c r="J613">
        <v>0.34399999999999997</v>
      </c>
      <c r="L613">
        <v>0.79200000000000004</v>
      </c>
      <c r="M613">
        <v>0.21099999999999999</v>
      </c>
      <c r="N613">
        <v>0.39400000000000002</v>
      </c>
      <c r="O613">
        <v>9.4E-2</v>
      </c>
      <c r="P613">
        <v>0.185</v>
      </c>
      <c r="R613">
        <v>2018</v>
      </c>
    </row>
    <row r="614" spans="3:18" x14ac:dyDescent="0.35">
      <c r="C614" t="s">
        <v>118</v>
      </c>
      <c r="E614">
        <v>141</v>
      </c>
      <c r="F614">
        <v>3.8079999999999998</v>
      </c>
      <c r="J614">
        <v>0.47199999999999998</v>
      </c>
      <c r="L614">
        <v>1.2150000000000001</v>
      </c>
      <c r="M614">
        <v>7.9000000000000001E-2</v>
      </c>
      <c r="N614">
        <v>0.42299999999999999</v>
      </c>
      <c r="O614">
        <v>0.112</v>
      </c>
      <c r="P614">
        <v>0.11600000000000001</v>
      </c>
      <c r="R614">
        <v>2018</v>
      </c>
    </row>
    <row r="615" spans="3:18" x14ac:dyDescent="0.35">
      <c r="C615" t="s">
        <v>158</v>
      </c>
      <c r="E615">
        <v>142</v>
      </c>
      <c r="F615">
        <v>3.7949999999999999</v>
      </c>
      <c r="J615">
        <v>0.73</v>
      </c>
      <c r="L615">
        <v>1.125</v>
      </c>
      <c r="M615">
        <v>0.26900000000000002</v>
      </c>
      <c r="N615">
        <v>0</v>
      </c>
      <c r="O615">
        <v>6.0999999999999999E-2</v>
      </c>
      <c r="P615">
        <v>7.9000000000000001E-2</v>
      </c>
      <c r="R615">
        <v>2018</v>
      </c>
    </row>
    <row r="616" spans="3:18" x14ac:dyDescent="0.35">
      <c r="C616" t="s">
        <v>168</v>
      </c>
      <c r="E616">
        <v>143</v>
      </c>
      <c r="F616">
        <v>3.774</v>
      </c>
      <c r="J616">
        <v>0.26200000000000001</v>
      </c>
      <c r="L616">
        <v>0.90800000000000003</v>
      </c>
      <c r="M616">
        <v>0.40200000000000002</v>
      </c>
      <c r="N616">
        <v>0.221</v>
      </c>
      <c r="O616">
        <v>4.9000000000000002E-2</v>
      </c>
      <c r="P616">
        <v>0.155</v>
      </c>
      <c r="R616">
        <v>2018</v>
      </c>
    </row>
    <row r="617" spans="3:18" x14ac:dyDescent="0.35">
      <c r="C617" t="s">
        <v>136</v>
      </c>
      <c r="E617">
        <v>144</v>
      </c>
      <c r="F617">
        <v>3.6920000000000002</v>
      </c>
      <c r="J617">
        <v>0.35699999999999998</v>
      </c>
      <c r="L617">
        <v>1.0940000000000001</v>
      </c>
      <c r="M617">
        <v>0.248</v>
      </c>
      <c r="N617">
        <v>0.40600000000000003</v>
      </c>
      <c r="O617">
        <v>9.9000000000000005E-2</v>
      </c>
      <c r="P617">
        <v>0.13200000000000001</v>
      </c>
      <c r="R617">
        <v>2018</v>
      </c>
    </row>
    <row r="618" spans="3:18" x14ac:dyDescent="0.35">
      <c r="C618" t="s">
        <v>174</v>
      </c>
      <c r="E618">
        <v>145</v>
      </c>
      <c r="F618">
        <v>3.6320000000000001</v>
      </c>
      <c r="J618">
        <v>0.33200000000000002</v>
      </c>
      <c r="L618">
        <v>0.53700000000000003</v>
      </c>
      <c r="M618">
        <v>0.255</v>
      </c>
      <c r="N618">
        <v>8.5000000000000006E-2</v>
      </c>
      <c r="O618">
        <v>3.5999999999999997E-2</v>
      </c>
      <c r="P618">
        <v>0.191</v>
      </c>
      <c r="R618">
        <v>2018</v>
      </c>
    </row>
    <row r="619" spans="3:18" x14ac:dyDescent="0.35">
      <c r="C619" t="s">
        <v>149</v>
      </c>
      <c r="E619">
        <v>146</v>
      </c>
      <c r="F619">
        <v>3.59</v>
      </c>
      <c r="J619">
        <v>1.0169999999999999</v>
      </c>
      <c r="L619">
        <v>1.1739999999999999</v>
      </c>
      <c r="M619">
        <v>0.41699999999999998</v>
      </c>
      <c r="N619">
        <v>0.55700000000000005</v>
      </c>
      <c r="O619">
        <v>9.1999999999999998E-2</v>
      </c>
      <c r="P619">
        <v>4.2000000000000003E-2</v>
      </c>
      <c r="R619">
        <v>2018</v>
      </c>
    </row>
    <row r="620" spans="3:18" x14ac:dyDescent="0.35">
      <c r="C620" t="s">
        <v>152</v>
      </c>
      <c r="E620">
        <v>147</v>
      </c>
      <c r="F620">
        <v>3.5870000000000002</v>
      </c>
      <c r="J620">
        <v>0.186</v>
      </c>
      <c r="L620">
        <v>0.54100000000000004</v>
      </c>
      <c r="M620">
        <v>0.30599999999999999</v>
      </c>
      <c r="N620">
        <v>0.53100000000000003</v>
      </c>
      <c r="O620">
        <v>0.08</v>
      </c>
      <c r="P620">
        <v>0.21</v>
      </c>
      <c r="R620">
        <v>2018</v>
      </c>
    </row>
    <row r="621" spans="3:18" x14ac:dyDescent="0.35">
      <c r="C621" t="s">
        <v>140</v>
      </c>
      <c r="E621">
        <v>148</v>
      </c>
      <c r="F621">
        <v>3.5819999999999999</v>
      </c>
      <c r="J621">
        <v>0.315</v>
      </c>
      <c r="L621">
        <v>0.71399999999999997</v>
      </c>
      <c r="M621">
        <v>0.28899999999999998</v>
      </c>
      <c r="N621">
        <v>2.5000000000000001E-2</v>
      </c>
      <c r="O621">
        <v>0.104</v>
      </c>
      <c r="P621">
        <v>0.39200000000000002</v>
      </c>
      <c r="R621">
        <v>2018</v>
      </c>
    </row>
    <row r="622" spans="3:18" x14ac:dyDescent="0.35">
      <c r="C622" t="s">
        <v>137</v>
      </c>
      <c r="E622">
        <v>149</v>
      </c>
      <c r="F622">
        <v>3.4950000000000001</v>
      </c>
      <c r="J622">
        <v>7.5999999999999998E-2</v>
      </c>
      <c r="L622">
        <v>0.85799999999999998</v>
      </c>
      <c r="M622">
        <v>0.26700000000000002</v>
      </c>
      <c r="N622">
        <v>0.41899999999999998</v>
      </c>
      <c r="O622">
        <v>0.03</v>
      </c>
      <c r="P622">
        <v>0.20599999999999999</v>
      </c>
      <c r="R622">
        <v>2018</v>
      </c>
    </row>
    <row r="623" spans="3:18" x14ac:dyDescent="0.35">
      <c r="C623" t="s">
        <v>177</v>
      </c>
      <c r="E623">
        <v>150</v>
      </c>
      <c r="F623">
        <v>3.4620000000000002</v>
      </c>
      <c r="J623">
        <v>0.68899999999999995</v>
      </c>
      <c r="L623">
        <v>0.38200000000000001</v>
      </c>
      <c r="M623">
        <v>0.53900000000000003</v>
      </c>
      <c r="N623">
        <v>8.7999999999999995E-2</v>
      </c>
      <c r="O623">
        <v>0.14399999999999999</v>
      </c>
      <c r="P623">
        <v>0.376</v>
      </c>
      <c r="R623">
        <v>2018</v>
      </c>
    </row>
    <row r="624" spans="3:18" x14ac:dyDescent="0.35">
      <c r="C624" t="s">
        <v>175</v>
      </c>
      <c r="E624">
        <v>151</v>
      </c>
      <c r="F624">
        <v>3.4079999999999999</v>
      </c>
      <c r="J624">
        <v>0.33200000000000002</v>
      </c>
      <c r="L624">
        <v>0.89600000000000002</v>
      </c>
      <c r="M624">
        <v>0.4</v>
      </c>
      <c r="N624">
        <v>0.63600000000000001</v>
      </c>
      <c r="O624">
        <v>0.44400000000000001</v>
      </c>
      <c r="P624">
        <v>0.2</v>
      </c>
      <c r="R624">
        <v>2018</v>
      </c>
    </row>
    <row r="625" spans="3:18" x14ac:dyDescent="0.35">
      <c r="C625" t="s">
        <v>157</v>
      </c>
      <c r="E625">
        <v>152</v>
      </c>
      <c r="F625">
        <v>3.355</v>
      </c>
      <c r="J625">
        <v>0.442</v>
      </c>
      <c r="L625">
        <v>1.073</v>
      </c>
      <c r="M625">
        <v>0.34300000000000003</v>
      </c>
      <c r="N625">
        <v>0.24399999999999999</v>
      </c>
      <c r="O625">
        <v>6.4000000000000001E-2</v>
      </c>
      <c r="P625">
        <v>8.3000000000000004E-2</v>
      </c>
      <c r="R625">
        <v>2018</v>
      </c>
    </row>
    <row r="626" spans="3:18" x14ac:dyDescent="0.35">
      <c r="C626" t="s">
        <v>167</v>
      </c>
      <c r="E626">
        <v>153</v>
      </c>
      <c r="F626">
        <v>3.3029999999999999</v>
      </c>
      <c r="J626">
        <v>0.45500000000000002</v>
      </c>
      <c r="L626">
        <v>0.99099999999999999</v>
      </c>
      <c r="M626">
        <v>0.38100000000000001</v>
      </c>
      <c r="N626">
        <v>0.48099999999999998</v>
      </c>
      <c r="O626">
        <v>9.7000000000000003E-2</v>
      </c>
      <c r="P626">
        <v>0.27</v>
      </c>
      <c r="R626">
        <v>2018</v>
      </c>
    </row>
    <row r="627" spans="3:18" x14ac:dyDescent="0.35">
      <c r="C627" t="s">
        <v>212</v>
      </c>
      <c r="E627">
        <v>154</v>
      </c>
      <c r="F627">
        <v>3.254</v>
      </c>
      <c r="J627">
        <v>0.33700000000000002</v>
      </c>
      <c r="L627">
        <v>0.60799999999999998</v>
      </c>
      <c r="M627">
        <v>0.17699999999999999</v>
      </c>
      <c r="N627">
        <v>0.112</v>
      </c>
      <c r="O627">
        <v>0.106</v>
      </c>
      <c r="P627">
        <v>0.224</v>
      </c>
      <c r="R627">
        <v>2018</v>
      </c>
    </row>
    <row r="628" spans="3:18" x14ac:dyDescent="0.35">
      <c r="C628" t="s">
        <v>169</v>
      </c>
      <c r="E628">
        <v>155</v>
      </c>
      <c r="F628">
        <v>3.0830000000000002</v>
      </c>
      <c r="J628">
        <v>2.4E-2</v>
      </c>
      <c r="L628">
        <v>0</v>
      </c>
      <c r="M628">
        <v>0.01</v>
      </c>
      <c r="N628">
        <v>0.30499999999999999</v>
      </c>
      <c r="O628">
        <v>3.7999999999999999E-2</v>
      </c>
      <c r="P628">
        <v>0.218</v>
      </c>
      <c r="R628">
        <v>2018</v>
      </c>
    </row>
    <row r="629" spans="3:18" x14ac:dyDescent="0.35">
      <c r="C629" t="s">
        <v>178</v>
      </c>
      <c r="E629">
        <v>156</v>
      </c>
      <c r="F629">
        <v>2.9049999999999998</v>
      </c>
      <c r="J629">
        <v>9.0999999999999998E-2</v>
      </c>
      <c r="L629">
        <v>0.627</v>
      </c>
      <c r="M629">
        <v>0.14499999999999999</v>
      </c>
      <c r="N629">
        <v>6.5000000000000002E-2</v>
      </c>
      <c r="O629">
        <v>7.5999999999999998E-2</v>
      </c>
      <c r="P629">
        <v>0.14899999999999999</v>
      </c>
      <c r="R629">
        <v>2018</v>
      </c>
    </row>
    <row r="630" spans="3:18" x14ac:dyDescent="0.35">
      <c r="C630" t="s">
        <v>19</v>
      </c>
      <c r="E630">
        <v>1</v>
      </c>
      <c r="F630">
        <v>7.7690000000000001</v>
      </c>
      <c r="J630">
        <v>1.34</v>
      </c>
      <c r="L630">
        <v>1.587</v>
      </c>
      <c r="M630">
        <v>0.98599999999999999</v>
      </c>
      <c r="N630">
        <v>0.59599999999999997</v>
      </c>
      <c r="O630">
        <v>0.39300000000000002</v>
      </c>
      <c r="P630">
        <v>0.153</v>
      </c>
      <c r="R630">
        <v>2019</v>
      </c>
    </row>
    <row r="631" spans="3:18" x14ac:dyDescent="0.35">
      <c r="C631" t="s">
        <v>15</v>
      </c>
      <c r="E631">
        <v>2</v>
      </c>
      <c r="F631">
        <v>7.6</v>
      </c>
      <c r="J631">
        <v>1.383</v>
      </c>
      <c r="L631">
        <v>1.573</v>
      </c>
      <c r="M631">
        <v>0.996</v>
      </c>
      <c r="N631">
        <v>0.59199999999999997</v>
      </c>
      <c r="O631">
        <v>0.41</v>
      </c>
      <c r="P631">
        <v>0.252</v>
      </c>
      <c r="R631">
        <v>2019</v>
      </c>
    </row>
    <row r="632" spans="3:18" x14ac:dyDescent="0.35">
      <c r="C632" t="s">
        <v>16</v>
      </c>
      <c r="E632">
        <v>3</v>
      </c>
      <c r="F632">
        <v>7.5540000000000003</v>
      </c>
      <c r="J632">
        <v>1.488</v>
      </c>
      <c r="L632">
        <v>1.5820000000000001</v>
      </c>
      <c r="M632">
        <v>1.028</v>
      </c>
      <c r="N632">
        <v>0.60299999999999998</v>
      </c>
      <c r="O632">
        <v>0.34100000000000003</v>
      </c>
      <c r="P632">
        <v>0.27100000000000002</v>
      </c>
      <c r="R632">
        <v>2019</v>
      </c>
    </row>
    <row r="633" spans="3:18" x14ac:dyDescent="0.35">
      <c r="C633" t="s">
        <v>14</v>
      </c>
      <c r="E633">
        <v>4</v>
      </c>
      <c r="F633">
        <v>7.4939999999999998</v>
      </c>
      <c r="J633">
        <v>1.38</v>
      </c>
      <c r="L633">
        <v>1.6240000000000001</v>
      </c>
      <c r="M633">
        <v>1.026</v>
      </c>
      <c r="N633">
        <v>0.59099999999999997</v>
      </c>
      <c r="O633">
        <v>0.11799999999999999</v>
      </c>
      <c r="P633">
        <v>0.35399999999999998</v>
      </c>
      <c r="R633">
        <v>2019</v>
      </c>
    </row>
    <row r="634" spans="3:18" x14ac:dyDescent="0.35">
      <c r="C634" t="s">
        <v>20</v>
      </c>
      <c r="E634">
        <v>5</v>
      </c>
      <c r="F634">
        <v>7.4880000000000004</v>
      </c>
      <c r="J634">
        <v>1.3959999999999999</v>
      </c>
      <c r="L634">
        <v>1.522</v>
      </c>
      <c r="M634">
        <v>0.999</v>
      </c>
      <c r="N634">
        <v>0.55700000000000005</v>
      </c>
      <c r="O634">
        <v>0.29799999999999999</v>
      </c>
      <c r="P634">
        <v>0.32200000000000001</v>
      </c>
      <c r="R634">
        <v>2019</v>
      </c>
    </row>
    <row r="635" spans="3:18" x14ac:dyDescent="0.35">
      <c r="C635" t="s">
        <v>12</v>
      </c>
      <c r="E635">
        <v>6</v>
      </c>
      <c r="F635">
        <v>7.48</v>
      </c>
      <c r="J635">
        <v>1.452</v>
      </c>
      <c r="L635">
        <v>1.526</v>
      </c>
      <c r="M635">
        <v>1.052</v>
      </c>
      <c r="N635">
        <v>0.57199999999999995</v>
      </c>
      <c r="O635">
        <v>0.34300000000000003</v>
      </c>
      <c r="P635">
        <v>0.26300000000000001</v>
      </c>
      <c r="R635">
        <v>2019</v>
      </c>
    </row>
    <row r="636" spans="3:18" x14ac:dyDescent="0.35">
      <c r="C636" t="s">
        <v>21</v>
      </c>
      <c r="E636">
        <v>7</v>
      </c>
      <c r="F636">
        <v>7.343</v>
      </c>
      <c r="J636">
        <v>1.387</v>
      </c>
      <c r="L636">
        <v>1.4870000000000001</v>
      </c>
      <c r="M636">
        <v>1.0089999999999999</v>
      </c>
      <c r="N636">
        <v>0.57399999999999995</v>
      </c>
      <c r="O636">
        <v>0.373</v>
      </c>
      <c r="P636">
        <v>0.26700000000000002</v>
      </c>
      <c r="R636">
        <v>2019</v>
      </c>
    </row>
    <row r="637" spans="3:18" x14ac:dyDescent="0.35">
      <c r="C637" t="s">
        <v>22</v>
      </c>
      <c r="E637">
        <v>8</v>
      </c>
      <c r="F637">
        <v>7.3070000000000004</v>
      </c>
      <c r="J637">
        <v>1.3029999999999999</v>
      </c>
      <c r="L637">
        <v>1.5569999999999999</v>
      </c>
      <c r="M637">
        <v>1.026</v>
      </c>
      <c r="N637">
        <v>0.58499999999999996</v>
      </c>
      <c r="O637">
        <v>0.38</v>
      </c>
      <c r="P637">
        <v>0.33</v>
      </c>
      <c r="R637">
        <v>2019</v>
      </c>
    </row>
    <row r="638" spans="3:18" x14ac:dyDescent="0.35">
      <c r="C638" t="s">
        <v>17</v>
      </c>
      <c r="E638">
        <v>9</v>
      </c>
      <c r="F638">
        <v>7.2779999999999996</v>
      </c>
      <c r="J638">
        <v>1.365</v>
      </c>
      <c r="L638">
        <v>1.5049999999999999</v>
      </c>
      <c r="M638">
        <v>1.0389999999999999</v>
      </c>
      <c r="N638">
        <v>0.58399999999999996</v>
      </c>
      <c r="O638">
        <v>0.308</v>
      </c>
      <c r="P638">
        <v>0.28499999999999998</v>
      </c>
      <c r="R638">
        <v>2019</v>
      </c>
    </row>
    <row r="639" spans="3:18" x14ac:dyDescent="0.35">
      <c r="C639" t="s">
        <v>29</v>
      </c>
      <c r="E639">
        <v>10</v>
      </c>
      <c r="F639">
        <v>7.2460000000000004</v>
      </c>
      <c r="J639">
        <v>1.3759999999999999</v>
      </c>
      <c r="L639">
        <v>1.4750000000000001</v>
      </c>
      <c r="M639">
        <v>1.016</v>
      </c>
      <c r="N639">
        <v>0.53200000000000003</v>
      </c>
      <c r="O639">
        <v>0.22600000000000001</v>
      </c>
      <c r="P639">
        <v>0.24399999999999999</v>
      </c>
      <c r="R639">
        <v>2019</v>
      </c>
    </row>
    <row r="640" spans="3:18" x14ac:dyDescent="0.35">
      <c r="C640" t="s">
        <v>24</v>
      </c>
      <c r="E640">
        <v>11</v>
      </c>
      <c r="F640">
        <v>7.2279999999999998</v>
      </c>
      <c r="J640">
        <v>1.3720000000000001</v>
      </c>
      <c r="L640">
        <v>1.548</v>
      </c>
      <c r="M640">
        <v>1.036</v>
      </c>
      <c r="N640">
        <v>0.55700000000000005</v>
      </c>
      <c r="O640">
        <v>0.28999999999999998</v>
      </c>
      <c r="P640">
        <v>0.33200000000000002</v>
      </c>
      <c r="R640">
        <v>2019</v>
      </c>
    </row>
    <row r="641" spans="3:18" x14ac:dyDescent="0.35">
      <c r="C641" t="s">
        <v>27</v>
      </c>
      <c r="E641">
        <v>12</v>
      </c>
      <c r="F641">
        <v>7.1669999999999998</v>
      </c>
      <c r="J641">
        <v>1.034</v>
      </c>
      <c r="L641">
        <v>1.4410000000000001</v>
      </c>
      <c r="M641">
        <v>0.96299999999999997</v>
      </c>
      <c r="N641">
        <v>0.55800000000000005</v>
      </c>
      <c r="O641">
        <v>9.2999999999999999E-2</v>
      </c>
      <c r="P641">
        <v>0.14399999999999999</v>
      </c>
      <c r="R641">
        <v>2019</v>
      </c>
    </row>
    <row r="642" spans="3:18" x14ac:dyDescent="0.35">
      <c r="C642" t="s">
        <v>25</v>
      </c>
      <c r="E642">
        <v>13</v>
      </c>
      <c r="F642">
        <v>7.1390000000000002</v>
      </c>
      <c r="J642">
        <v>1.276</v>
      </c>
      <c r="L642">
        <v>1.4550000000000001</v>
      </c>
      <c r="M642">
        <v>1.0289999999999999</v>
      </c>
      <c r="N642">
        <v>0.371</v>
      </c>
      <c r="O642">
        <v>8.2000000000000003E-2</v>
      </c>
      <c r="P642">
        <v>0.26100000000000001</v>
      </c>
      <c r="R642">
        <v>2019</v>
      </c>
    </row>
    <row r="643" spans="3:18" x14ac:dyDescent="0.35">
      <c r="C643" t="s">
        <v>33</v>
      </c>
      <c r="E643">
        <v>14</v>
      </c>
      <c r="F643">
        <v>7.09</v>
      </c>
      <c r="J643">
        <v>1.609</v>
      </c>
      <c r="L643">
        <v>1.4790000000000001</v>
      </c>
      <c r="M643">
        <v>1.012</v>
      </c>
      <c r="N643">
        <v>0.52600000000000002</v>
      </c>
      <c r="O643">
        <v>0.316</v>
      </c>
      <c r="P643">
        <v>0.19400000000000001</v>
      </c>
      <c r="R643">
        <v>2019</v>
      </c>
    </row>
    <row r="644" spans="3:18" x14ac:dyDescent="0.35">
      <c r="C644" t="s">
        <v>37</v>
      </c>
      <c r="E644">
        <v>15</v>
      </c>
      <c r="F644">
        <v>7.0540000000000003</v>
      </c>
      <c r="J644">
        <v>1.333</v>
      </c>
      <c r="L644">
        <v>1.538</v>
      </c>
      <c r="M644">
        <v>0.996</v>
      </c>
      <c r="N644">
        <v>0.45</v>
      </c>
      <c r="O644">
        <v>0.27800000000000002</v>
      </c>
      <c r="P644">
        <v>0.34799999999999998</v>
      </c>
      <c r="R644">
        <v>2019</v>
      </c>
    </row>
    <row r="645" spans="3:18" x14ac:dyDescent="0.35">
      <c r="C645" t="s">
        <v>34</v>
      </c>
      <c r="E645">
        <v>16</v>
      </c>
      <c r="F645">
        <v>7.0209999999999999</v>
      </c>
      <c r="J645">
        <v>1.4990000000000001</v>
      </c>
      <c r="L645">
        <v>1.5529999999999999</v>
      </c>
      <c r="M645">
        <v>0.999</v>
      </c>
      <c r="N645">
        <v>0.51600000000000001</v>
      </c>
      <c r="O645">
        <v>0.31</v>
      </c>
      <c r="P645">
        <v>0.29799999999999999</v>
      </c>
      <c r="R645">
        <v>2019</v>
      </c>
    </row>
    <row r="646" spans="3:18" x14ac:dyDescent="0.35">
      <c r="C646" t="s">
        <v>43</v>
      </c>
      <c r="E646">
        <v>17</v>
      </c>
      <c r="F646">
        <v>6.9850000000000003</v>
      </c>
      <c r="J646">
        <v>1.373</v>
      </c>
      <c r="L646">
        <v>1.454</v>
      </c>
      <c r="M646">
        <v>0.98699999999999999</v>
      </c>
      <c r="N646">
        <v>0.495</v>
      </c>
      <c r="O646">
        <v>0.26500000000000001</v>
      </c>
      <c r="P646">
        <v>0.26100000000000001</v>
      </c>
      <c r="R646">
        <v>2019</v>
      </c>
    </row>
    <row r="647" spans="3:18" x14ac:dyDescent="0.35">
      <c r="C647" t="s">
        <v>35</v>
      </c>
      <c r="E647">
        <v>18</v>
      </c>
      <c r="F647">
        <v>6.923</v>
      </c>
      <c r="J647">
        <v>1.3560000000000001</v>
      </c>
      <c r="L647">
        <v>1.504</v>
      </c>
      <c r="M647">
        <v>0.98599999999999999</v>
      </c>
      <c r="N647">
        <v>0.47299999999999998</v>
      </c>
      <c r="O647">
        <v>0.21</v>
      </c>
      <c r="P647">
        <v>0.16</v>
      </c>
      <c r="R647">
        <v>2019</v>
      </c>
    </row>
    <row r="648" spans="3:18" x14ac:dyDescent="0.35">
      <c r="C648" t="s">
        <v>31</v>
      </c>
      <c r="E648">
        <v>19</v>
      </c>
      <c r="F648">
        <v>6.8920000000000003</v>
      </c>
      <c r="J648">
        <v>1.4330000000000001</v>
      </c>
      <c r="L648">
        <v>1.4570000000000001</v>
      </c>
      <c r="M648">
        <v>0.874</v>
      </c>
      <c r="N648">
        <v>0.45400000000000001</v>
      </c>
      <c r="O648">
        <v>0.128</v>
      </c>
      <c r="P648">
        <v>0.28000000000000003</v>
      </c>
      <c r="R648">
        <v>2019</v>
      </c>
    </row>
    <row r="649" spans="3:18" x14ac:dyDescent="0.35">
      <c r="C649" t="s">
        <v>48</v>
      </c>
      <c r="E649">
        <v>20</v>
      </c>
      <c r="F649">
        <v>6.8520000000000003</v>
      </c>
      <c r="J649">
        <v>1.2689999999999999</v>
      </c>
      <c r="L649">
        <v>1.4870000000000001</v>
      </c>
      <c r="M649">
        <v>0.92</v>
      </c>
      <c r="N649">
        <v>0.45700000000000002</v>
      </c>
      <c r="O649">
        <v>3.5999999999999997E-2</v>
      </c>
      <c r="P649">
        <v>4.5999999999999999E-2</v>
      </c>
      <c r="R649">
        <v>2019</v>
      </c>
    </row>
    <row r="650" spans="3:18" x14ac:dyDescent="0.35">
      <c r="C650" t="s">
        <v>36</v>
      </c>
      <c r="E650">
        <v>21</v>
      </c>
      <c r="F650">
        <v>6.8250000000000002</v>
      </c>
      <c r="J650">
        <v>1.5029999999999999</v>
      </c>
      <c r="L650">
        <v>1.31</v>
      </c>
      <c r="M650">
        <v>0.82499999999999996</v>
      </c>
      <c r="N650">
        <v>0.59799999999999998</v>
      </c>
      <c r="O650">
        <v>0.182</v>
      </c>
      <c r="P650">
        <v>0.26200000000000001</v>
      </c>
      <c r="R650">
        <v>2019</v>
      </c>
    </row>
    <row r="651" spans="3:18" x14ac:dyDescent="0.35">
      <c r="C651" t="s">
        <v>55</v>
      </c>
      <c r="E651">
        <v>22</v>
      </c>
      <c r="F651">
        <v>6.726</v>
      </c>
      <c r="J651">
        <v>1.3</v>
      </c>
      <c r="L651">
        <v>1.52</v>
      </c>
      <c r="M651">
        <v>0.999</v>
      </c>
      <c r="N651">
        <v>0.56399999999999995</v>
      </c>
      <c r="O651">
        <v>0.151</v>
      </c>
      <c r="P651">
        <v>0.375</v>
      </c>
      <c r="R651">
        <v>2019</v>
      </c>
    </row>
    <row r="652" spans="3:18" x14ac:dyDescent="0.35">
      <c r="C652" t="s">
        <v>30</v>
      </c>
      <c r="E652">
        <v>23</v>
      </c>
      <c r="F652">
        <v>6.5949999999999998</v>
      </c>
      <c r="J652">
        <v>1.07</v>
      </c>
      <c r="L652">
        <v>1.323</v>
      </c>
      <c r="M652">
        <v>0.86099999999999999</v>
      </c>
      <c r="N652">
        <v>0.433</v>
      </c>
      <c r="O652">
        <v>7.2999999999999995E-2</v>
      </c>
      <c r="P652">
        <v>7.3999999999999996E-2</v>
      </c>
      <c r="R652">
        <v>2019</v>
      </c>
    </row>
    <row r="653" spans="3:18" x14ac:dyDescent="0.35">
      <c r="C653" t="s">
        <v>46</v>
      </c>
      <c r="E653">
        <v>24</v>
      </c>
      <c r="F653">
        <v>6.5919999999999996</v>
      </c>
      <c r="J653">
        <v>1.3240000000000001</v>
      </c>
      <c r="L653">
        <v>1.472</v>
      </c>
      <c r="M653">
        <v>1.0449999999999999</v>
      </c>
      <c r="N653">
        <v>0.436</v>
      </c>
      <c r="O653">
        <v>0.183</v>
      </c>
      <c r="P653">
        <v>0.111</v>
      </c>
      <c r="R653">
        <v>2019</v>
      </c>
    </row>
    <row r="654" spans="3:18" x14ac:dyDescent="0.35">
      <c r="C654" t="s">
        <v>56</v>
      </c>
      <c r="E654">
        <v>25</v>
      </c>
      <c r="F654">
        <v>6.4459999999999997</v>
      </c>
      <c r="J654">
        <v>1.3680000000000001</v>
      </c>
      <c r="L654">
        <v>1.43</v>
      </c>
      <c r="M654">
        <v>0.91400000000000003</v>
      </c>
      <c r="N654">
        <v>0.35099999999999998</v>
      </c>
      <c r="O654">
        <v>9.7000000000000003E-2</v>
      </c>
      <c r="P654">
        <v>0.24199999999999999</v>
      </c>
      <c r="R654">
        <v>2019</v>
      </c>
    </row>
    <row r="655" spans="3:18" x14ac:dyDescent="0.35">
      <c r="C655" t="s">
        <v>44</v>
      </c>
      <c r="E655">
        <v>26</v>
      </c>
      <c r="F655">
        <v>6.444</v>
      </c>
      <c r="J655">
        <v>1.159</v>
      </c>
      <c r="L655">
        <v>1.369</v>
      </c>
      <c r="M655">
        <v>0.92</v>
      </c>
      <c r="N655">
        <v>0.35699999999999998</v>
      </c>
      <c r="O655">
        <v>5.6000000000000001E-2</v>
      </c>
      <c r="P655">
        <v>0.187</v>
      </c>
      <c r="R655">
        <v>2019</v>
      </c>
    </row>
    <row r="656" spans="3:18" x14ac:dyDescent="0.35">
      <c r="C656" t="s">
        <v>62</v>
      </c>
      <c r="E656">
        <v>27</v>
      </c>
      <c r="F656">
        <v>6.4359999999999999</v>
      </c>
      <c r="J656">
        <v>0.8</v>
      </c>
      <c r="L656">
        <v>1.2689999999999999</v>
      </c>
      <c r="M656">
        <v>0.746</v>
      </c>
      <c r="N656">
        <v>0.53500000000000003</v>
      </c>
      <c r="O656">
        <v>7.8E-2</v>
      </c>
      <c r="P656">
        <v>0.17499999999999999</v>
      </c>
      <c r="R656">
        <v>2019</v>
      </c>
    </row>
    <row r="657" spans="3:18" x14ac:dyDescent="0.35">
      <c r="C657" t="s">
        <v>53</v>
      </c>
      <c r="E657">
        <v>28</v>
      </c>
      <c r="F657">
        <v>6.375</v>
      </c>
      <c r="J657">
        <v>1.403</v>
      </c>
      <c r="L657">
        <v>1.357</v>
      </c>
      <c r="M657">
        <v>0.79500000000000004</v>
      </c>
      <c r="N657">
        <v>0.439</v>
      </c>
      <c r="O657">
        <v>0.13200000000000001</v>
      </c>
      <c r="P657">
        <v>0.08</v>
      </c>
      <c r="R657">
        <v>2019</v>
      </c>
    </row>
    <row r="658" spans="3:18" x14ac:dyDescent="0.35">
      <c r="C658" t="s">
        <v>45</v>
      </c>
      <c r="E658">
        <v>29</v>
      </c>
      <c r="F658">
        <v>6.3739999999999997</v>
      </c>
      <c r="J658">
        <v>1.6839999999999999</v>
      </c>
      <c r="L658">
        <v>1.3129999999999999</v>
      </c>
      <c r="M658">
        <v>0.871</v>
      </c>
      <c r="N658">
        <v>0.55500000000000005</v>
      </c>
      <c r="O658">
        <v>0.16700000000000001</v>
      </c>
      <c r="P658">
        <v>0.22</v>
      </c>
      <c r="R658">
        <v>2019</v>
      </c>
    </row>
    <row r="659" spans="3:18" x14ac:dyDescent="0.35">
      <c r="C659" t="s">
        <v>54</v>
      </c>
      <c r="E659">
        <v>30</v>
      </c>
      <c r="F659">
        <v>6.3540000000000001</v>
      </c>
      <c r="J659">
        <v>1.286</v>
      </c>
      <c r="L659">
        <v>1.484</v>
      </c>
      <c r="M659">
        <v>1.0620000000000001</v>
      </c>
      <c r="N659">
        <v>0.36199999999999999</v>
      </c>
      <c r="O659">
        <v>7.9000000000000001E-2</v>
      </c>
      <c r="P659">
        <v>0.153</v>
      </c>
      <c r="R659">
        <v>2019</v>
      </c>
    </row>
    <row r="660" spans="3:18" x14ac:dyDescent="0.35">
      <c r="C660" t="s">
        <v>42</v>
      </c>
      <c r="E660">
        <v>31</v>
      </c>
      <c r="F660">
        <v>6.3209999999999997</v>
      </c>
      <c r="J660">
        <v>1.149</v>
      </c>
      <c r="L660">
        <v>1.4419999999999999</v>
      </c>
      <c r="M660">
        <v>0.91</v>
      </c>
      <c r="N660">
        <v>0.51600000000000001</v>
      </c>
      <c r="O660">
        <v>5.3999999999999999E-2</v>
      </c>
      <c r="P660">
        <v>0.109</v>
      </c>
      <c r="R660">
        <v>2019</v>
      </c>
    </row>
    <row r="661" spans="3:18" x14ac:dyDescent="0.35">
      <c r="C661" t="s">
        <v>32</v>
      </c>
      <c r="E661">
        <v>32</v>
      </c>
      <c r="F661">
        <v>6.3</v>
      </c>
      <c r="J661">
        <v>1.004</v>
      </c>
      <c r="L661">
        <v>1.4390000000000001</v>
      </c>
      <c r="M661">
        <v>0.80200000000000005</v>
      </c>
      <c r="N661">
        <v>0.39</v>
      </c>
      <c r="O661">
        <v>8.5999999999999993E-2</v>
      </c>
      <c r="P661">
        <v>9.9000000000000005E-2</v>
      </c>
      <c r="R661">
        <v>2019</v>
      </c>
    </row>
    <row r="662" spans="3:18" x14ac:dyDescent="0.35">
      <c r="C662" t="s">
        <v>50</v>
      </c>
      <c r="E662">
        <v>33</v>
      </c>
      <c r="F662">
        <v>6.2930000000000001</v>
      </c>
      <c r="J662">
        <v>1.1240000000000001</v>
      </c>
      <c r="L662">
        <v>1.4650000000000001</v>
      </c>
      <c r="M662">
        <v>0.89100000000000001</v>
      </c>
      <c r="N662">
        <v>0.52300000000000002</v>
      </c>
      <c r="O662">
        <v>0.15</v>
      </c>
      <c r="P662">
        <v>0.127</v>
      </c>
      <c r="R662">
        <v>2019</v>
      </c>
    </row>
    <row r="663" spans="3:18" x14ac:dyDescent="0.35">
      <c r="C663" t="s">
        <v>40</v>
      </c>
      <c r="E663">
        <v>34</v>
      </c>
      <c r="F663">
        <v>6.2619999999999996</v>
      </c>
      <c r="J663">
        <v>1.5720000000000001</v>
      </c>
      <c r="L663">
        <v>1.4630000000000001</v>
      </c>
      <c r="M663">
        <v>1.141</v>
      </c>
      <c r="N663">
        <v>0.55600000000000005</v>
      </c>
      <c r="O663">
        <v>0.45300000000000001</v>
      </c>
      <c r="P663">
        <v>0.27100000000000002</v>
      </c>
      <c r="R663">
        <v>2019</v>
      </c>
    </row>
    <row r="664" spans="3:18" x14ac:dyDescent="0.35">
      <c r="C664" t="s">
        <v>61</v>
      </c>
      <c r="E664">
        <v>35</v>
      </c>
      <c r="F664">
        <v>6.2530000000000001</v>
      </c>
      <c r="J664">
        <v>0.79400000000000004</v>
      </c>
      <c r="L664">
        <v>1.242</v>
      </c>
      <c r="M664">
        <v>0.78900000000000003</v>
      </c>
      <c r="N664">
        <v>0.43</v>
      </c>
      <c r="O664">
        <v>7.3999999999999996E-2</v>
      </c>
      <c r="P664">
        <v>9.2999999999999999E-2</v>
      </c>
      <c r="R664">
        <v>2019</v>
      </c>
    </row>
    <row r="665" spans="3:18" x14ac:dyDescent="0.35">
      <c r="C665" t="s">
        <v>69</v>
      </c>
      <c r="E665">
        <v>36</v>
      </c>
      <c r="F665">
        <v>6.2229999999999999</v>
      </c>
      <c r="J665">
        <v>1.294</v>
      </c>
      <c r="L665">
        <v>1.488</v>
      </c>
      <c r="M665">
        <v>1.0389999999999999</v>
      </c>
      <c r="N665">
        <v>0.23100000000000001</v>
      </c>
      <c r="O665">
        <v>0.03</v>
      </c>
      <c r="P665">
        <v>0.158</v>
      </c>
      <c r="R665">
        <v>2019</v>
      </c>
    </row>
    <row r="666" spans="3:18" x14ac:dyDescent="0.35">
      <c r="C666" t="s">
        <v>68</v>
      </c>
      <c r="E666">
        <v>37</v>
      </c>
      <c r="F666">
        <v>6.1989999999999998</v>
      </c>
      <c r="J666">
        <v>1.3620000000000001</v>
      </c>
      <c r="L666">
        <v>1.3680000000000001</v>
      </c>
      <c r="M666">
        <v>0.871</v>
      </c>
      <c r="N666">
        <v>0.53600000000000003</v>
      </c>
      <c r="O666">
        <v>0.11</v>
      </c>
      <c r="P666">
        <v>0.255</v>
      </c>
      <c r="R666">
        <v>2019</v>
      </c>
    </row>
    <row r="667" spans="3:18" x14ac:dyDescent="0.35">
      <c r="C667" t="s">
        <v>64</v>
      </c>
      <c r="E667">
        <v>38</v>
      </c>
      <c r="F667">
        <v>6.1980000000000004</v>
      </c>
      <c r="J667">
        <v>1.246</v>
      </c>
      <c r="L667">
        <v>1.504</v>
      </c>
      <c r="M667">
        <v>0.88100000000000001</v>
      </c>
      <c r="N667">
        <v>0.33400000000000002</v>
      </c>
      <c r="O667">
        <v>1.4E-2</v>
      </c>
      <c r="P667">
        <v>0.121</v>
      </c>
      <c r="R667">
        <v>2019</v>
      </c>
    </row>
    <row r="668" spans="3:18" x14ac:dyDescent="0.35">
      <c r="C668" t="s">
        <v>232</v>
      </c>
      <c r="E668">
        <v>39</v>
      </c>
      <c r="F668">
        <v>6.1920000000000002</v>
      </c>
      <c r="J668">
        <v>1.2310000000000001</v>
      </c>
      <c r="L668">
        <v>1.4770000000000001</v>
      </c>
      <c r="M668">
        <v>0.71299999999999997</v>
      </c>
      <c r="N668">
        <v>0.48899999999999999</v>
      </c>
      <c r="O668">
        <v>1.6E-2</v>
      </c>
      <c r="P668">
        <v>0.185</v>
      </c>
      <c r="R668">
        <v>2019</v>
      </c>
    </row>
    <row r="669" spans="3:18" x14ac:dyDescent="0.35">
      <c r="C669" t="s">
        <v>79</v>
      </c>
      <c r="E669">
        <v>40</v>
      </c>
      <c r="F669">
        <v>6.1820000000000004</v>
      </c>
      <c r="J669">
        <v>1.206</v>
      </c>
      <c r="L669">
        <v>1.4379999999999999</v>
      </c>
      <c r="M669">
        <v>0.88400000000000001</v>
      </c>
      <c r="N669">
        <v>0.48299999999999998</v>
      </c>
      <c r="O669">
        <v>0.05</v>
      </c>
      <c r="P669">
        <v>0.11700000000000001</v>
      </c>
      <c r="R669">
        <v>2019</v>
      </c>
    </row>
    <row r="670" spans="3:18" x14ac:dyDescent="0.35">
      <c r="C670" t="s">
        <v>63</v>
      </c>
      <c r="E670">
        <v>41</v>
      </c>
      <c r="F670">
        <v>6.1740000000000004</v>
      </c>
      <c r="J670">
        <v>0.745</v>
      </c>
      <c r="L670">
        <v>1.5289999999999999</v>
      </c>
      <c r="M670">
        <v>0.75600000000000001</v>
      </c>
      <c r="N670">
        <v>0.63100000000000001</v>
      </c>
      <c r="O670">
        <v>0.24</v>
      </c>
      <c r="P670">
        <v>0.32200000000000001</v>
      </c>
      <c r="R670">
        <v>2019</v>
      </c>
    </row>
    <row r="671" spans="3:18" x14ac:dyDescent="0.35">
      <c r="C671" t="s">
        <v>75</v>
      </c>
      <c r="E671">
        <v>42</v>
      </c>
      <c r="F671">
        <v>6.149</v>
      </c>
      <c r="J671">
        <v>1.238</v>
      </c>
      <c r="L671">
        <v>1.5149999999999999</v>
      </c>
      <c r="M671">
        <v>0.81799999999999995</v>
      </c>
      <c r="N671">
        <v>0.29099999999999998</v>
      </c>
      <c r="O671">
        <v>4.2000000000000003E-2</v>
      </c>
      <c r="P671">
        <v>4.2999999999999997E-2</v>
      </c>
      <c r="R671">
        <v>2019</v>
      </c>
    </row>
    <row r="672" spans="3:18" x14ac:dyDescent="0.35">
      <c r="C672" t="s">
        <v>51</v>
      </c>
      <c r="E672">
        <v>43</v>
      </c>
      <c r="F672">
        <v>6.125</v>
      </c>
      <c r="J672">
        <v>0.98499999999999999</v>
      </c>
      <c r="L672">
        <v>1.41</v>
      </c>
      <c r="M672">
        <v>0.84099999999999997</v>
      </c>
      <c r="N672">
        <v>0.47</v>
      </c>
      <c r="O672">
        <v>3.4000000000000002E-2</v>
      </c>
      <c r="P672">
        <v>9.9000000000000005E-2</v>
      </c>
      <c r="R672">
        <v>2019</v>
      </c>
    </row>
    <row r="673" spans="3:18" x14ac:dyDescent="0.35">
      <c r="C673" t="s">
        <v>74</v>
      </c>
      <c r="E673">
        <v>44</v>
      </c>
      <c r="F673">
        <v>6.1180000000000003</v>
      </c>
      <c r="J673">
        <v>1.258</v>
      </c>
      <c r="L673">
        <v>1.5229999999999999</v>
      </c>
      <c r="M673">
        <v>0.95299999999999996</v>
      </c>
      <c r="N673">
        <v>0.56399999999999995</v>
      </c>
      <c r="O673">
        <v>5.7000000000000002E-2</v>
      </c>
      <c r="P673">
        <v>0.14399999999999999</v>
      </c>
      <c r="R673">
        <v>2019</v>
      </c>
    </row>
    <row r="674" spans="3:18" x14ac:dyDescent="0.35">
      <c r="C674" t="s">
        <v>76</v>
      </c>
      <c r="E674">
        <v>45</v>
      </c>
      <c r="F674">
        <v>6.1050000000000004</v>
      </c>
      <c r="J674">
        <v>0.69399999999999995</v>
      </c>
      <c r="L674">
        <v>1.325</v>
      </c>
      <c r="M674">
        <v>0.83499999999999996</v>
      </c>
      <c r="N674">
        <v>0.435</v>
      </c>
      <c r="O674">
        <v>0.127</v>
      </c>
      <c r="P674">
        <v>0.2</v>
      </c>
      <c r="R674">
        <v>2019</v>
      </c>
    </row>
    <row r="675" spans="3:18" x14ac:dyDescent="0.35">
      <c r="C675" t="s">
        <v>88</v>
      </c>
      <c r="E675">
        <v>46</v>
      </c>
      <c r="F675">
        <v>6.1</v>
      </c>
      <c r="J675">
        <v>0.88200000000000001</v>
      </c>
      <c r="L675">
        <v>1.232</v>
      </c>
      <c r="M675">
        <v>0.75800000000000001</v>
      </c>
      <c r="N675">
        <v>0.48899999999999999</v>
      </c>
      <c r="O675">
        <v>6.0000000000000001E-3</v>
      </c>
      <c r="P675">
        <v>0.26200000000000001</v>
      </c>
      <c r="R675">
        <v>2019</v>
      </c>
    </row>
    <row r="676" spans="3:18" x14ac:dyDescent="0.35">
      <c r="C676" t="s">
        <v>47</v>
      </c>
      <c r="E676">
        <v>47</v>
      </c>
      <c r="F676">
        <v>6.0860000000000003</v>
      </c>
      <c r="J676">
        <v>1.0920000000000001</v>
      </c>
      <c r="L676">
        <v>1.4319999999999999</v>
      </c>
      <c r="M676">
        <v>0.88100000000000001</v>
      </c>
      <c r="N676">
        <v>0.47099999999999997</v>
      </c>
      <c r="O676">
        <v>0.05</v>
      </c>
      <c r="P676">
        <v>6.6000000000000003E-2</v>
      </c>
      <c r="R676">
        <v>2019</v>
      </c>
    </row>
    <row r="677" spans="3:18" x14ac:dyDescent="0.35">
      <c r="C677" t="s">
        <v>107</v>
      </c>
      <c r="E677">
        <v>48</v>
      </c>
      <c r="F677">
        <v>6.07</v>
      </c>
      <c r="J677">
        <v>1.1619999999999999</v>
      </c>
      <c r="L677">
        <v>1.232</v>
      </c>
      <c r="M677">
        <v>0.82499999999999996</v>
      </c>
      <c r="N677">
        <v>0.46200000000000002</v>
      </c>
      <c r="O677">
        <v>5.0000000000000001E-3</v>
      </c>
      <c r="P677">
        <v>8.3000000000000004E-2</v>
      </c>
      <c r="R677">
        <v>2019</v>
      </c>
    </row>
    <row r="678" spans="3:18" x14ac:dyDescent="0.35">
      <c r="C678" t="s">
        <v>86</v>
      </c>
      <c r="E678">
        <v>49</v>
      </c>
      <c r="F678">
        <v>6.0460000000000003</v>
      </c>
      <c r="J678">
        <v>1.2629999999999999</v>
      </c>
      <c r="L678">
        <v>1.2230000000000001</v>
      </c>
      <c r="M678">
        <v>1.042</v>
      </c>
      <c r="N678">
        <v>0.40600000000000003</v>
      </c>
      <c r="O678">
        <v>4.1000000000000002E-2</v>
      </c>
      <c r="P678">
        <v>0.19</v>
      </c>
      <c r="R678">
        <v>2019</v>
      </c>
    </row>
    <row r="679" spans="3:18" x14ac:dyDescent="0.35">
      <c r="C679" t="s">
        <v>67</v>
      </c>
      <c r="E679">
        <v>50</v>
      </c>
      <c r="F679">
        <v>6.0279999999999996</v>
      </c>
      <c r="J679">
        <v>0.91200000000000003</v>
      </c>
      <c r="L679">
        <v>1.3120000000000001</v>
      </c>
      <c r="M679">
        <v>0.86799999999999999</v>
      </c>
      <c r="N679">
        <v>0.498</v>
      </c>
      <c r="O679">
        <v>8.6999999999999994E-2</v>
      </c>
      <c r="P679">
        <v>0.126</v>
      </c>
      <c r="R679">
        <v>2019</v>
      </c>
    </row>
    <row r="680" spans="3:18" x14ac:dyDescent="0.35">
      <c r="C680" t="s">
        <v>58</v>
      </c>
      <c r="E680">
        <v>51</v>
      </c>
      <c r="F680">
        <v>6.0209999999999999</v>
      </c>
      <c r="J680">
        <v>1.5</v>
      </c>
      <c r="L680">
        <v>1.319</v>
      </c>
      <c r="M680">
        <v>0.80800000000000005</v>
      </c>
      <c r="N680">
        <v>0.49299999999999999</v>
      </c>
      <c r="O680">
        <v>9.7000000000000003E-2</v>
      </c>
      <c r="P680">
        <v>0.14199999999999999</v>
      </c>
      <c r="R680">
        <v>2019</v>
      </c>
    </row>
    <row r="681" spans="3:18" x14ac:dyDescent="0.35">
      <c r="C681" t="s">
        <v>52</v>
      </c>
      <c r="E681">
        <v>52</v>
      </c>
      <c r="F681">
        <v>6.008</v>
      </c>
      <c r="J681">
        <v>1.05</v>
      </c>
      <c r="L681">
        <v>1.409</v>
      </c>
      <c r="M681">
        <v>0.82799999999999996</v>
      </c>
      <c r="N681">
        <v>0.55700000000000005</v>
      </c>
      <c r="O681">
        <v>2.8000000000000001E-2</v>
      </c>
      <c r="P681">
        <v>0.35899999999999999</v>
      </c>
      <c r="R681">
        <v>2019</v>
      </c>
    </row>
    <row r="682" spans="3:18" x14ac:dyDescent="0.35">
      <c r="C682" t="s">
        <v>110</v>
      </c>
      <c r="E682">
        <v>53</v>
      </c>
      <c r="F682">
        <v>5.94</v>
      </c>
      <c r="J682">
        <v>1.1870000000000001</v>
      </c>
      <c r="L682">
        <v>1.4650000000000001</v>
      </c>
      <c r="M682">
        <v>0.81200000000000006</v>
      </c>
      <c r="N682">
        <v>0.26400000000000001</v>
      </c>
      <c r="O682">
        <v>6.4000000000000001E-2</v>
      </c>
      <c r="P682">
        <v>7.4999999999999997E-2</v>
      </c>
      <c r="R682">
        <v>2019</v>
      </c>
    </row>
    <row r="683" spans="3:18" x14ac:dyDescent="0.35">
      <c r="C683" t="s">
        <v>66</v>
      </c>
      <c r="E683">
        <v>54</v>
      </c>
      <c r="F683">
        <v>5.8949999999999996</v>
      </c>
      <c r="J683">
        <v>1.3009999999999999</v>
      </c>
      <c r="L683">
        <v>1.2190000000000001</v>
      </c>
      <c r="M683">
        <v>1.036</v>
      </c>
      <c r="N683">
        <v>0.159</v>
      </c>
      <c r="O683">
        <v>5.6000000000000001E-2</v>
      </c>
      <c r="P683">
        <v>0.17499999999999999</v>
      </c>
      <c r="R683">
        <v>2019</v>
      </c>
    </row>
    <row r="684" spans="3:18" x14ac:dyDescent="0.35">
      <c r="C684" t="s">
        <v>93</v>
      </c>
      <c r="E684">
        <v>55</v>
      </c>
      <c r="F684">
        <v>5.8929999999999998</v>
      </c>
      <c r="J684">
        <v>1.2370000000000001</v>
      </c>
      <c r="L684">
        <v>1.528</v>
      </c>
      <c r="M684">
        <v>0.874</v>
      </c>
      <c r="N684">
        <v>0.495</v>
      </c>
      <c r="O684">
        <v>0.161</v>
      </c>
      <c r="P684">
        <v>0.10299999999999999</v>
      </c>
      <c r="R684">
        <v>2019</v>
      </c>
    </row>
    <row r="685" spans="3:18" x14ac:dyDescent="0.35">
      <c r="C685" t="s">
        <v>84</v>
      </c>
      <c r="E685">
        <v>56</v>
      </c>
      <c r="F685">
        <v>5.89</v>
      </c>
      <c r="J685">
        <v>0.83099999999999996</v>
      </c>
      <c r="L685">
        <v>1.478</v>
      </c>
      <c r="M685">
        <v>0.83099999999999996</v>
      </c>
      <c r="N685">
        <v>0.49</v>
      </c>
      <c r="O685">
        <v>2.8000000000000001E-2</v>
      </c>
      <c r="P685">
        <v>0.107</v>
      </c>
      <c r="R685">
        <v>2019</v>
      </c>
    </row>
    <row r="686" spans="3:18" x14ac:dyDescent="0.35">
      <c r="C686" t="s">
        <v>90</v>
      </c>
      <c r="E686">
        <v>57</v>
      </c>
      <c r="F686">
        <v>5.8879999999999999</v>
      </c>
      <c r="J686">
        <v>1.1200000000000001</v>
      </c>
      <c r="L686">
        <v>1.4019999999999999</v>
      </c>
      <c r="M686">
        <v>0.79800000000000004</v>
      </c>
      <c r="N686">
        <v>0.498</v>
      </c>
      <c r="O686">
        <v>0.06</v>
      </c>
      <c r="P686">
        <v>0.215</v>
      </c>
      <c r="R686">
        <v>2019</v>
      </c>
    </row>
    <row r="687" spans="3:18" x14ac:dyDescent="0.35">
      <c r="C687" t="s">
        <v>65</v>
      </c>
      <c r="E687">
        <v>58</v>
      </c>
      <c r="F687">
        <v>5.8860000000000001</v>
      </c>
      <c r="J687">
        <v>1.327</v>
      </c>
      <c r="L687">
        <v>1.419</v>
      </c>
      <c r="M687">
        <v>1.0880000000000001</v>
      </c>
      <c r="N687">
        <v>0.44500000000000001</v>
      </c>
      <c r="O687">
        <v>0.14000000000000001</v>
      </c>
      <c r="P687">
        <v>6.9000000000000006E-2</v>
      </c>
      <c r="R687">
        <v>2019</v>
      </c>
    </row>
    <row r="688" spans="3:18" x14ac:dyDescent="0.35">
      <c r="C688" t="s">
        <v>126</v>
      </c>
      <c r="E688">
        <v>59</v>
      </c>
      <c r="F688">
        <v>5.86</v>
      </c>
      <c r="J688">
        <v>0.64200000000000002</v>
      </c>
      <c r="L688">
        <v>1.236</v>
      </c>
      <c r="M688">
        <v>0.82799999999999996</v>
      </c>
      <c r="N688">
        <v>0.50700000000000001</v>
      </c>
      <c r="O688">
        <v>7.8E-2</v>
      </c>
      <c r="P688">
        <v>0.246</v>
      </c>
      <c r="R688">
        <v>2019</v>
      </c>
    </row>
    <row r="689" spans="3:18" x14ac:dyDescent="0.35">
      <c r="C689" t="s">
        <v>73</v>
      </c>
      <c r="E689">
        <v>60</v>
      </c>
      <c r="F689">
        <v>5.8090000000000002</v>
      </c>
      <c r="J689">
        <v>1.173</v>
      </c>
      <c r="L689">
        <v>1.508</v>
      </c>
      <c r="M689">
        <v>0.72899999999999998</v>
      </c>
      <c r="N689">
        <v>0.41</v>
      </c>
      <c r="O689">
        <v>9.6000000000000002E-2</v>
      </c>
      <c r="P689">
        <v>0.14599999999999999</v>
      </c>
      <c r="R689">
        <v>2019</v>
      </c>
    </row>
    <row r="690" spans="3:18" x14ac:dyDescent="0.35">
      <c r="C690" t="s">
        <v>70</v>
      </c>
      <c r="E690">
        <v>61</v>
      </c>
      <c r="F690">
        <v>5.7789999999999999</v>
      </c>
      <c r="J690">
        <v>0.77600000000000002</v>
      </c>
      <c r="L690">
        <v>1.2090000000000001</v>
      </c>
      <c r="M690">
        <v>0.70599999999999996</v>
      </c>
      <c r="N690">
        <v>0.51100000000000001</v>
      </c>
      <c r="O690">
        <v>6.4000000000000001E-2</v>
      </c>
      <c r="P690">
        <v>0.13700000000000001</v>
      </c>
      <c r="R690">
        <v>2019</v>
      </c>
    </row>
    <row r="691" spans="3:18" x14ac:dyDescent="0.35">
      <c r="C691" t="s">
        <v>125</v>
      </c>
      <c r="E691">
        <v>62</v>
      </c>
      <c r="F691">
        <v>5.758</v>
      </c>
      <c r="J691">
        <v>1.2010000000000001</v>
      </c>
      <c r="L691">
        <v>1.41</v>
      </c>
      <c r="M691">
        <v>0.82799999999999996</v>
      </c>
      <c r="N691">
        <v>0.19900000000000001</v>
      </c>
      <c r="O691">
        <v>0.02</v>
      </c>
      <c r="P691">
        <v>8.1000000000000003E-2</v>
      </c>
      <c r="R691">
        <v>2019</v>
      </c>
    </row>
    <row r="692" spans="3:18" x14ac:dyDescent="0.35">
      <c r="C692" t="s">
        <v>72</v>
      </c>
      <c r="E692">
        <v>63</v>
      </c>
      <c r="F692">
        <v>5.7430000000000003</v>
      </c>
      <c r="J692">
        <v>0.85499999999999998</v>
      </c>
      <c r="L692">
        <v>1.4750000000000001</v>
      </c>
      <c r="M692">
        <v>0.77700000000000002</v>
      </c>
      <c r="N692">
        <v>0.51400000000000001</v>
      </c>
      <c r="O692">
        <v>0.08</v>
      </c>
      <c r="P692">
        <v>0.184</v>
      </c>
      <c r="R692">
        <v>2019</v>
      </c>
    </row>
    <row r="693" spans="3:18" x14ac:dyDescent="0.35">
      <c r="C693" t="s">
        <v>233</v>
      </c>
      <c r="E693">
        <v>64</v>
      </c>
      <c r="F693">
        <v>5.718</v>
      </c>
      <c r="J693">
        <v>1.2629999999999999</v>
      </c>
      <c r="L693">
        <v>1.252</v>
      </c>
      <c r="M693">
        <v>1.042</v>
      </c>
      <c r="N693">
        <v>0.41699999999999998</v>
      </c>
      <c r="O693">
        <v>0.16200000000000001</v>
      </c>
      <c r="P693">
        <v>0.191</v>
      </c>
      <c r="R693">
        <v>2019</v>
      </c>
    </row>
    <row r="694" spans="3:18" x14ac:dyDescent="0.35">
      <c r="C694" t="s">
        <v>77</v>
      </c>
      <c r="E694">
        <v>65</v>
      </c>
      <c r="F694">
        <v>5.6970000000000001</v>
      </c>
      <c r="J694">
        <v>0.96</v>
      </c>
      <c r="L694">
        <v>1.274</v>
      </c>
      <c r="M694">
        <v>0.85399999999999998</v>
      </c>
      <c r="N694">
        <v>0.45500000000000002</v>
      </c>
      <c r="O694">
        <v>2.7E-2</v>
      </c>
      <c r="P694">
        <v>8.3000000000000004E-2</v>
      </c>
      <c r="R694">
        <v>2019</v>
      </c>
    </row>
    <row r="695" spans="3:18" x14ac:dyDescent="0.35">
      <c r="C695" t="s">
        <v>109</v>
      </c>
      <c r="E695">
        <v>66</v>
      </c>
      <c r="F695">
        <v>5.6929999999999996</v>
      </c>
      <c r="J695">
        <v>1.2210000000000001</v>
      </c>
      <c r="L695">
        <v>1.431</v>
      </c>
      <c r="M695">
        <v>0.999</v>
      </c>
      <c r="N695">
        <v>0.50800000000000001</v>
      </c>
      <c r="O695">
        <v>2.5000000000000001E-2</v>
      </c>
      <c r="P695">
        <v>4.7E-2</v>
      </c>
      <c r="R695">
        <v>2019</v>
      </c>
    </row>
    <row r="696" spans="3:18" x14ac:dyDescent="0.35">
      <c r="C696" t="s">
        <v>102</v>
      </c>
      <c r="E696">
        <v>67</v>
      </c>
      <c r="F696">
        <v>5.6529999999999996</v>
      </c>
      <c r="J696">
        <v>0.67700000000000005</v>
      </c>
      <c r="L696">
        <v>0.88600000000000001</v>
      </c>
      <c r="M696">
        <v>0.53500000000000003</v>
      </c>
      <c r="N696">
        <v>0.313</v>
      </c>
      <c r="O696">
        <v>9.8000000000000004E-2</v>
      </c>
      <c r="P696">
        <v>0.22</v>
      </c>
      <c r="R696">
        <v>2019</v>
      </c>
    </row>
    <row r="697" spans="3:18" x14ac:dyDescent="0.35">
      <c r="C697" t="s">
        <v>83</v>
      </c>
      <c r="E697">
        <v>68</v>
      </c>
      <c r="F697">
        <v>5.6479999999999997</v>
      </c>
      <c r="J697">
        <v>1.1830000000000001</v>
      </c>
      <c r="L697">
        <v>1.452</v>
      </c>
      <c r="M697">
        <v>0.72599999999999998</v>
      </c>
      <c r="N697">
        <v>0.33400000000000002</v>
      </c>
      <c r="O697">
        <v>3.1E-2</v>
      </c>
      <c r="P697">
        <v>8.2000000000000003E-2</v>
      </c>
      <c r="R697">
        <v>2019</v>
      </c>
    </row>
    <row r="698" spans="3:18" x14ac:dyDescent="0.35">
      <c r="C698" t="s">
        <v>111</v>
      </c>
      <c r="E698">
        <v>69</v>
      </c>
      <c r="F698">
        <v>5.6310000000000002</v>
      </c>
      <c r="J698">
        <v>0.80700000000000005</v>
      </c>
      <c r="L698">
        <v>1.2929999999999999</v>
      </c>
      <c r="M698">
        <v>0.65700000000000003</v>
      </c>
      <c r="N698">
        <v>0.55800000000000005</v>
      </c>
      <c r="O698">
        <v>0.107</v>
      </c>
      <c r="P698">
        <v>0.11700000000000001</v>
      </c>
      <c r="R698">
        <v>2019</v>
      </c>
    </row>
    <row r="699" spans="3:18" x14ac:dyDescent="0.35">
      <c r="C699" t="s">
        <v>108</v>
      </c>
      <c r="E699">
        <v>70</v>
      </c>
      <c r="F699">
        <v>5.6029999999999998</v>
      </c>
      <c r="J699">
        <v>1.004</v>
      </c>
      <c r="L699">
        <v>1.383</v>
      </c>
      <c r="M699">
        <v>0.85399999999999998</v>
      </c>
      <c r="N699">
        <v>0.28199999999999997</v>
      </c>
      <c r="O699">
        <v>3.9E-2</v>
      </c>
      <c r="P699">
        <v>0.13700000000000001</v>
      </c>
      <c r="R699">
        <v>2019</v>
      </c>
    </row>
    <row r="700" spans="3:18" x14ac:dyDescent="0.35">
      <c r="C700" t="s">
        <v>71</v>
      </c>
      <c r="E700">
        <v>71</v>
      </c>
      <c r="F700">
        <v>5.5289999999999999</v>
      </c>
      <c r="J700">
        <v>0.68500000000000005</v>
      </c>
      <c r="L700">
        <v>1.3280000000000001</v>
      </c>
      <c r="M700">
        <v>0.73899999999999999</v>
      </c>
      <c r="N700">
        <v>0.245</v>
      </c>
      <c r="O700">
        <v>0</v>
      </c>
      <c r="P700">
        <v>0.18099999999999999</v>
      </c>
      <c r="R700">
        <v>2019</v>
      </c>
    </row>
    <row r="701" spans="3:18" x14ac:dyDescent="0.35">
      <c r="C701" t="s">
        <v>82</v>
      </c>
      <c r="E701">
        <v>72</v>
      </c>
      <c r="F701">
        <v>5.5250000000000004</v>
      </c>
      <c r="J701">
        <v>1.044</v>
      </c>
      <c r="L701">
        <v>1.3029999999999999</v>
      </c>
      <c r="M701">
        <v>0.67300000000000004</v>
      </c>
      <c r="N701">
        <v>0.41599999999999998</v>
      </c>
      <c r="O701">
        <v>0.152</v>
      </c>
      <c r="P701">
        <v>0.13300000000000001</v>
      </c>
      <c r="R701">
        <v>2019</v>
      </c>
    </row>
    <row r="702" spans="3:18" x14ac:dyDescent="0.35">
      <c r="C702" t="s">
        <v>104</v>
      </c>
      <c r="E702">
        <v>73</v>
      </c>
      <c r="F702">
        <v>5.5229999999999997</v>
      </c>
      <c r="J702">
        <v>1.0509999999999999</v>
      </c>
      <c r="L702">
        <v>1.361</v>
      </c>
      <c r="M702">
        <v>0.871</v>
      </c>
      <c r="N702">
        <v>0.19700000000000001</v>
      </c>
      <c r="O702">
        <v>0.08</v>
      </c>
      <c r="P702">
        <v>0.14199999999999999</v>
      </c>
      <c r="R702">
        <v>2019</v>
      </c>
    </row>
    <row r="703" spans="3:18" x14ac:dyDescent="0.35">
      <c r="C703" t="s">
        <v>127</v>
      </c>
      <c r="E703">
        <v>74</v>
      </c>
      <c r="F703">
        <v>5.4669999999999996</v>
      </c>
      <c r="J703">
        <v>0.49299999999999999</v>
      </c>
      <c r="L703">
        <v>1.0980000000000001</v>
      </c>
      <c r="M703">
        <v>0.71799999999999997</v>
      </c>
      <c r="N703">
        <v>0.38900000000000001</v>
      </c>
      <c r="O703">
        <v>0.14399999999999999</v>
      </c>
      <c r="P703">
        <v>0.23</v>
      </c>
      <c r="R703">
        <v>2019</v>
      </c>
    </row>
    <row r="704" spans="3:18" x14ac:dyDescent="0.35">
      <c r="C704" t="s">
        <v>81</v>
      </c>
      <c r="E704">
        <v>75</v>
      </c>
      <c r="F704">
        <v>5.4320000000000004</v>
      </c>
      <c r="J704">
        <v>1.155</v>
      </c>
      <c r="L704">
        <v>1.266</v>
      </c>
      <c r="M704">
        <v>0.91400000000000003</v>
      </c>
      <c r="N704">
        <v>0.29599999999999999</v>
      </c>
      <c r="O704">
        <v>2.1999999999999999E-2</v>
      </c>
      <c r="P704">
        <v>0.11899999999999999</v>
      </c>
      <c r="R704">
        <v>2019</v>
      </c>
    </row>
    <row r="705" spans="3:18" x14ac:dyDescent="0.35">
      <c r="C705" t="s">
        <v>92</v>
      </c>
      <c r="E705">
        <v>76</v>
      </c>
      <c r="F705">
        <v>5.43</v>
      </c>
      <c r="J705">
        <v>1.4379999999999999</v>
      </c>
      <c r="L705">
        <v>1.2769999999999999</v>
      </c>
      <c r="M705">
        <v>1.1220000000000001</v>
      </c>
      <c r="N705">
        <v>0.44</v>
      </c>
      <c r="O705">
        <v>0.28699999999999998</v>
      </c>
      <c r="P705">
        <v>0.25800000000000001</v>
      </c>
      <c r="R705">
        <v>2019</v>
      </c>
    </row>
    <row r="706" spans="3:18" x14ac:dyDescent="0.35">
      <c r="C706" t="s">
        <v>119</v>
      </c>
      <c r="E706">
        <v>77</v>
      </c>
      <c r="F706">
        <v>5.4249999999999998</v>
      </c>
      <c r="J706">
        <v>1.0149999999999999</v>
      </c>
      <c r="L706">
        <v>1.401</v>
      </c>
      <c r="M706">
        <v>0.77900000000000003</v>
      </c>
      <c r="N706">
        <v>0.497</v>
      </c>
      <c r="O706">
        <v>0.10100000000000001</v>
      </c>
      <c r="P706">
        <v>0.113</v>
      </c>
      <c r="R706">
        <v>2019</v>
      </c>
    </row>
    <row r="707" spans="3:18" x14ac:dyDescent="0.35">
      <c r="C707" t="s">
        <v>117</v>
      </c>
      <c r="E707">
        <v>78</v>
      </c>
      <c r="F707">
        <v>5.3860000000000001</v>
      </c>
      <c r="J707">
        <v>0.94499999999999995</v>
      </c>
      <c r="L707">
        <v>1.212</v>
      </c>
      <c r="M707">
        <v>0.84499999999999997</v>
      </c>
      <c r="N707">
        <v>0.21199999999999999</v>
      </c>
      <c r="O707">
        <v>6.0000000000000001E-3</v>
      </c>
      <c r="P707">
        <v>0.26300000000000001</v>
      </c>
      <c r="R707">
        <v>2019</v>
      </c>
    </row>
    <row r="708" spans="3:18" x14ac:dyDescent="0.35">
      <c r="C708" t="s">
        <v>96</v>
      </c>
      <c r="E708">
        <v>79</v>
      </c>
      <c r="F708">
        <v>5.3730000000000002</v>
      </c>
      <c r="J708">
        <v>1.1830000000000001</v>
      </c>
      <c r="L708">
        <v>1.36</v>
      </c>
      <c r="M708">
        <v>0.80800000000000005</v>
      </c>
      <c r="N708">
        <v>0.19500000000000001</v>
      </c>
      <c r="O708">
        <v>0.106</v>
      </c>
      <c r="P708">
        <v>8.3000000000000004E-2</v>
      </c>
      <c r="R708">
        <v>2019</v>
      </c>
    </row>
    <row r="709" spans="3:18" x14ac:dyDescent="0.35">
      <c r="C709" t="s">
        <v>80</v>
      </c>
      <c r="E709">
        <v>80</v>
      </c>
      <c r="F709">
        <v>5.3390000000000004</v>
      </c>
      <c r="J709">
        <v>1.2210000000000001</v>
      </c>
      <c r="L709">
        <v>1.171</v>
      </c>
      <c r="M709">
        <v>0.82799999999999996</v>
      </c>
      <c r="N709">
        <v>0.50800000000000001</v>
      </c>
      <c r="O709">
        <v>2.4E-2</v>
      </c>
      <c r="P709">
        <v>0.26</v>
      </c>
      <c r="R709">
        <v>2019</v>
      </c>
    </row>
    <row r="710" spans="3:18" x14ac:dyDescent="0.35">
      <c r="C710" t="s">
        <v>78</v>
      </c>
      <c r="E710">
        <v>81</v>
      </c>
      <c r="F710">
        <v>5.3230000000000004</v>
      </c>
      <c r="J710">
        <v>1.0669999999999999</v>
      </c>
      <c r="L710">
        <v>1.4650000000000001</v>
      </c>
      <c r="M710">
        <v>0.78900000000000003</v>
      </c>
      <c r="N710">
        <v>0.23499999999999999</v>
      </c>
      <c r="O710">
        <v>0.14199999999999999</v>
      </c>
      <c r="P710">
        <v>9.4E-2</v>
      </c>
      <c r="R710">
        <v>2019</v>
      </c>
    </row>
    <row r="711" spans="3:18" x14ac:dyDescent="0.35">
      <c r="C711" t="s">
        <v>123</v>
      </c>
      <c r="E711">
        <v>82</v>
      </c>
      <c r="F711">
        <v>5.2869999999999999</v>
      </c>
      <c r="J711">
        <v>1.181</v>
      </c>
      <c r="L711">
        <v>1.1559999999999999</v>
      </c>
      <c r="M711">
        <v>0.999</v>
      </c>
      <c r="N711">
        <v>6.7000000000000004E-2</v>
      </c>
      <c r="O711">
        <v>3.4000000000000002E-2</v>
      </c>
      <c r="P711">
        <v>0</v>
      </c>
      <c r="R711">
        <v>2019</v>
      </c>
    </row>
    <row r="712" spans="3:18" x14ac:dyDescent="0.35">
      <c r="C712" t="s">
        <v>121</v>
      </c>
      <c r="E712">
        <v>83</v>
      </c>
      <c r="F712">
        <v>5.2850000000000001</v>
      </c>
      <c r="J712">
        <v>0.94799999999999995</v>
      </c>
      <c r="L712">
        <v>1.5309999999999999</v>
      </c>
      <c r="M712">
        <v>0.66700000000000004</v>
      </c>
      <c r="N712">
        <v>0.317</v>
      </c>
      <c r="O712">
        <v>3.7999999999999999E-2</v>
      </c>
      <c r="P712">
        <v>0.23499999999999999</v>
      </c>
      <c r="R712">
        <v>2019</v>
      </c>
    </row>
    <row r="713" spans="3:18" x14ac:dyDescent="0.35">
      <c r="C713" t="s">
        <v>234</v>
      </c>
      <c r="E713">
        <v>84</v>
      </c>
      <c r="F713">
        <v>5.274</v>
      </c>
      <c r="J713">
        <v>0.98299999999999998</v>
      </c>
      <c r="L713">
        <v>1.294</v>
      </c>
      <c r="M713">
        <v>0.83799999999999997</v>
      </c>
      <c r="N713">
        <v>0.34499999999999997</v>
      </c>
      <c r="O713">
        <v>3.4000000000000002E-2</v>
      </c>
      <c r="P713">
        <v>0.185</v>
      </c>
      <c r="R713">
        <v>2019</v>
      </c>
    </row>
    <row r="714" spans="3:18" x14ac:dyDescent="0.35">
      <c r="C714" t="s">
        <v>98</v>
      </c>
      <c r="E714">
        <v>85</v>
      </c>
      <c r="F714">
        <v>5.2649999999999997</v>
      </c>
      <c r="J714">
        <v>0.69599999999999995</v>
      </c>
      <c r="L714">
        <v>1.111</v>
      </c>
      <c r="M714">
        <v>0.245</v>
      </c>
      <c r="N714">
        <v>0.42599999999999999</v>
      </c>
      <c r="O714">
        <v>4.1000000000000002E-2</v>
      </c>
      <c r="P714">
        <v>0.215</v>
      </c>
      <c r="R714">
        <v>2019</v>
      </c>
    </row>
    <row r="715" spans="3:18" x14ac:dyDescent="0.35">
      <c r="C715" t="s">
        <v>97</v>
      </c>
      <c r="E715">
        <v>86</v>
      </c>
      <c r="F715">
        <v>5.2610000000000001</v>
      </c>
      <c r="J715">
        <v>0.55100000000000005</v>
      </c>
      <c r="L715">
        <v>1.4379999999999999</v>
      </c>
      <c r="M715">
        <v>0.72299999999999998</v>
      </c>
      <c r="N715">
        <v>0.50800000000000001</v>
      </c>
      <c r="O715">
        <v>2.3E-2</v>
      </c>
      <c r="P715">
        <v>0.3</v>
      </c>
      <c r="R715">
        <v>2019</v>
      </c>
    </row>
    <row r="716" spans="3:18" x14ac:dyDescent="0.35">
      <c r="C716" t="s">
        <v>89</v>
      </c>
      <c r="E716">
        <v>87</v>
      </c>
      <c r="F716">
        <v>5.2469999999999999</v>
      </c>
      <c r="J716">
        <v>1.052</v>
      </c>
      <c r="L716">
        <v>1.538</v>
      </c>
      <c r="M716">
        <v>0.65700000000000003</v>
      </c>
      <c r="N716">
        <v>0.39400000000000002</v>
      </c>
      <c r="O716">
        <v>2.8000000000000001E-2</v>
      </c>
      <c r="P716">
        <v>0.24399999999999999</v>
      </c>
      <c r="R716">
        <v>2019</v>
      </c>
    </row>
    <row r="717" spans="3:18" x14ac:dyDescent="0.35">
      <c r="C717" t="s">
        <v>87</v>
      </c>
      <c r="E717">
        <v>88</v>
      </c>
      <c r="F717">
        <v>5.2110000000000003</v>
      </c>
      <c r="J717">
        <v>1.002</v>
      </c>
      <c r="L717">
        <v>1.1599999999999999</v>
      </c>
      <c r="M717">
        <v>0.78500000000000003</v>
      </c>
      <c r="N717">
        <v>8.5999999999999993E-2</v>
      </c>
      <c r="O717">
        <v>0.114</v>
      </c>
      <c r="P717">
        <v>7.2999999999999995E-2</v>
      </c>
      <c r="R717">
        <v>2019</v>
      </c>
    </row>
    <row r="718" spans="3:18" x14ac:dyDescent="0.35">
      <c r="C718" t="s">
        <v>113</v>
      </c>
      <c r="E718">
        <v>89</v>
      </c>
      <c r="F718">
        <v>5.2080000000000002</v>
      </c>
      <c r="J718">
        <v>0.80100000000000005</v>
      </c>
      <c r="L718">
        <v>0.78200000000000003</v>
      </c>
      <c r="M718">
        <v>0.78200000000000003</v>
      </c>
      <c r="N718">
        <v>0.41799999999999998</v>
      </c>
      <c r="O718">
        <v>7.5999999999999998E-2</v>
      </c>
      <c r="P718">
        <v>3.5999999999999997E-2</v>
      </c>
      <c r="R718">
        <v>2019</v>
      </c>
    </row>
    <row r="719" spans="3:18" x14ac:dyDescent="0.35">
      <c r="C719" t="s">
        <v>101</v>
      </c>
      <c r="E719">
        <v>90</v>
      </c>
      <c r="F719">
        <v>5.2080000000000002</v>
      </c>
      <c r="J719">
        <v>1.0429999999999999</v>
      </c>
      <c r="L719">
        <v>1.147</v>
      </c>
      <c r="M719">
        <v>0.76900000000000002</v>
      </c>
      <c r="N719">
        <v>0.35099999999999998</v>
      </c>
      <c r="O719">
        <v>0.182</v>
      </c>
      <c r="P719">
        <v>3.5000000000000003E-2</v>
      </c>
      <c r="R719">
        <v>2019</v>
      </c>
    </row>
    <row r="720" spans="3:18" x14ac:dyDescent="0.35">
      <c r="C720" t="s">
        <v>124</v>
      </c>
      <c r="E720">
        <v>91</v>
      </c>
      <c r="F720">
        <v>5.1970000000000001</v>
      </c>
      <c r="J720">
        <v>0.98699999999999999</v>
      </c>
      <c r="L720">
        <v>1.224</v>
      </c>
      <c r="M720">
        <v>0.81499999999999995</v>
      </c>
      <c r="N720">
        <v>0.216</v>
      </c>
      <c r="O720">
        <v>2.7E-2</v>
      </c>
      <c r="P720">
        <v>0.16600000000000001</v>
      </c>
      <c r="R720">
        <v>2019</v>
      </c>
    </row>
    <row r="721" spans="3:18" x14ac:dyDescent="0.35">
      <c r="C721" t="s">
        <v>94</v>
      </c>
      <c r="E721">
        <v>92</v>
      </c>
      <c r="F721">
        <v>5.1920000000000002</v>
      </c>
      <c r="J721">
        <v>0.93100000000000005</v>
      </c>
      <c r="L721">
        <v>1.2030000000000001</v>
      </c>
      <c r="M721">
        <v>0.66</v>
      </c>
      <c r="N721">
        <v>0.49099999999999999</v>
      </c>
      <c r="O721">
        <v>2.8000000000000001E-2</v>
      </c>
      <c r="P721">
        <v>0.498</v>
      </c>
      <c r="R721">
        <v>2019</v>
      </c>
    </row>
    <row r="722" spans="3:18" x14ac:dyDescent="0.35">
      <c r="C722" t="s">
        <v>105</v>
      </c>
      <c r="E722">
        <v>93</v>
      </c>
      <c r="F722">
        <v>5.1909999999999998</v>
      </c>
      <c r="J722">
        <v>1.0289999999999999</v>
      </c>
      <c r="L722">
        <v>1.125</v>
      </c>
      <c r="M722">
        <v>0.89300000000000002</v>
      </c>
      <c r="N722">
        <v>0.52100000000000002</v>
      </c>
      <c r="O722">
        <v>0.1</v>
      </c>
      <c r="P722">
        <v>5.8000000000000003E-2</v>
      </c>
      <c r="R722">
        <v>2019</v>
      </c>
    </row>
    <row r="723" spans="3:18" x14ac:dyDescent="0.35">
      <c r="C723" t="s">
        <v>95</v>
      </c>
      <c r="E723">
        <v>94</v>
      </c>
      <c r="F723">
        <v>5.1749999999999998</v>
      </c>
      <c r="J723">
        <v>0.74099999999999999</v>
      </c>
      <c r="L723">
        <v>1.3460000000000001</v>
      </c>
      <c r="M723">
        <v>0.85099999999999998</v>
      </c>
      <c r="N723">
        <v>0.54300000000000004</v>
      </c>
      <c r="O723">
        <v>7.2999999999999995E-2</v>
      </c>
      <c r="P723">
        <v>0.14699999999999999</v>
      </c>
      <c r="R723">
        <v>2019</v>
      </c>
    </row>
    <row r="724" spans="3:18" x14ac:dyDescent="0.35">
      <c r="C724" t="s">
        <v>99</v>
      </c>
      <c r="E724">
        <v>95</v>
      </c>
      <c r="F724">
        <v>5.0819999999999999</v>
      </c>
      <c r="J724">
        <v>0.81299999999999994</v>
      </c>
      <c r="L724">
        <v>1.321</v>
      </c>
      <c r="M724">
        <v>0.60399999999999998</v>
      </c>
      <c r="N724">
        <v>0.45700000000000002</v>
      </c>
      <c r="O724">
        <v>0.16700000000000001</v>
      </c>
      <c r="P724">
        <v>0.37</v>
      </c>
      <c r="R724">
        <v>2019</v>
      </c>
    </row>
    <row r="725" spans="3:18" x14ac:dyDescent="0.35">
      <c r="C725" t="s">
        <v>154</v>
      </c>
      <c r="E725">
        <v>96</v>
      </c>
      <c r="F725">
        <v>5.0439999999999996</v>
      </c>
      <c r="J725">
        <v>0.54900000000000004</v>
      </c>
      <c r="L725">
        <v>0.91</v>
      </c>
      <c r="M725">
        <v>0.33100000000000002</v>
      </c>
      <c r="N725">
        <v>0.38100000000000001</v>
      </c>
      <c r="O725">
        <v>3.6999999999999998E-2</v>
      </c>
      <c r="P725">
        <v>0.187</v>
      </c>
      <c r="R725">
        <v>2019</v>
      </c>
    </row>
    <row r="726" spans="3:18" x14ac:dyDescent="0.35">
      <c r="C726" t="s">
        <v>155</v>
      </c>
      <c r="E726">
        <v>97</v>
      </c>
      <c r="F726">
        <v>5.0110000000000001</v>
      </c>
      <c r="J726">
        <v>1.0920000000000001</v>
      </c>
      <c r="L726">
        <v>1.5129999999999999</v>
      </c>
      <c r="M726">
        <v>0.81499999999999995</v>
      </c>
      <c r="N726">
        <v>0.311</v>
      </c>
      <c r="O726">
        <v>4.0000000000000001E-3</v>
      </c>
      <c r="P726">
        <v>8.1000000000000003E-2</v>
      </c>
      <c r="R726">
        <v>2019</v>
      </c>
    </row>
    <row r="727" spans="3:18" x14ac:dyDescent="0.35">
      <c r="C727" t="s">
        <v>135</v>
      </c>
      <c r="E727">
        <v>98</v>
      </c>
      <c r="F727">
        <v>4.9960000000000004</v>
      </c>
      <c r="J727">
        <v>0.61099999999999999</v>
      </c>
      <c r="L727">
        <v>0.86799999999999999</v>
      </c>
      <c r="M727">
        <v>0.48599999999999999</v>
      </c>
      <c r="N727">
        <v>0.38100000000000001</v>
      </c>
      <c r="O727">
        <v>0.04</v>
      </c>
      <c r="P727">
        <v>0.245</v>
      </c>
      <c r="R727">
        <v>2019</v>
      </c>
    </row>
    <row r="728" spans="3:18" x14ac:dyDescent="0.35">
      <c r="C728" t="s">
        <v>172</v>
      </c>
      <c r="E728">
        <v>99</v>
      </c>
      <c r="F728">
        <v>4.944</v>
      </c>
      <c r="J728">
        <v>0.56899999999999995</v>
      </c>
      <c r="L728">
        <v>0.80800000000000005</v>
      </c>
      <c r="M728">
        <v>0.23200000000000001</v>
      </c>
      <c r="N728">
        <v>0.35199999999999998</v>
      </c>
      <c r="O728">
        <v>0.09</v>
      </c>
      <c r="P728">
        <v>0.154</v>
      </c>
      <c r="R728">
        <v>2019</v>
      </c>
    </row>
    <row r="729" spans="3:18" x14ac:dyDescent="0.35">
      <c r="C729" t="s">
        <v>142</v>
      </c>
      <c r="E729">
        <v>100</v>
      </c>
      <c r="F729">
        <v>4.9130000000000003</v>
      </c>
      <c r="J729">
        <v>0.44600000000000001</v>
      </c>
      <c r="L729">
        <v>1.226</v>
      </c>
      <c r="M729">
        <v>0.67700000000000005</v>
      </c>
      <c r="N729">
        <v>0.439</v>
      </c>
      <c r="O729">
        <v>8.8999999999999996E-2</v>
      </c>
      <c r="P729">
        <v>0.28499999999999998</v>
      </c>
      <c r="R729">
        <v>2019</v>
      </c>
    </row>
    <row r="730" spans="3:18" x14ac:dyDescent="0.35">
      <c r="C730" t="s">
        <v>103</v>
      </c>
      <c r="E730">
        <v>101</v>
      </c>
      <c r="F730">
        <v>4.9059999999999997</v>
      </c>
      <c r="J730">
        <v>0.83699999999999997</v>
      </c>
      <c r="L730">
        <v>1.2250000000000001</v>
      </c>
      <c r="M730">
        <v>0.81499999999999995</v>
      </c>
      <c r="N730">
        <v>0.38300000000000001</v>
      </c>
      <c r="O730">
        <v>0.13</v>
      </c>
      <c r="P730">
        <v>0.11</v>
      </c>
      <c r="R730">
        <v>2019</v>
      </c>
    </row>
    <row r="731" spans="3:18" x14ac:dyDescent="0.35">
      <c r="C731" t="s">
        <v>176</v>
      </c>
      <c r="E731">
        <v>102</v>
      </c>
      <c r="F731">
        <v>4.883</v>
      </c>
      <c r="J731">
        <v>0.39300000000000002</v>
      </c>
      <c r="L731">
        <v>0.437</v>
      </c>
      <c r="M731">
        <v>0.39700000000000002</v>
      </c>
      <c r="N731">
        <v>0.34899999999999998</v>
      </c>
      <c r="O731">
        <v>8.2000000000000003E-2</v>
      </c>
      <c r="P731">
        <v>0.17499999999999999</v>
      </c>
      <c r="R731">
        <v>2019</v>
      </c>
    </row>
    <row r="732" spans="3:18" x14ac:dyDescent="0.35">
      <c r="C732" t="s">
        <v>160</v>
      </c>
      <c r="E732">
        <v>103</v>
      </c>
      <c r="F732">
        <v>4.8120000000000003</v>
      </c>
      <c r="J732">
        <v>0.67300000000000004</v>
      </c>
      <c r="L732">
        <v>0.79900000000000004</v>
      </c>
      <c r="M732">
        <v>0.50800000000000001</v>
      </c>
      <c r="N732">
        <v>0.372</v>
      </c>
      <c r="O732">
        <v>9.2999999999999999E-2</v>
      </c>
      <c r="P732">
        <v>0.105</v>
      </c>
      <c r="R732">
        <v>2019</v>
      </c>
    </row>
    <row r="733" spans="3:18" x14ac:dyDescent="0.35">
      <c r="C733" t="s">
        <v>164</v>
      </c>
      <c r="E733">
        <v>104</v>
      </c>
      <c r="F733">
        <v>4.7990000000000004</v>
      </c>
      <c r="J733">
        <v>1.0569999999999999</v>
      </c>
      <c r="L733">
        <v>1.1830000000000001</v>
      </c>
      <c r="M733">
        <v>0.57099999999999995</v>
      </c>
      <c r="N733">
        <v>0.29499999999999998</v>
      </c>
      <c r="O733">
        <v>5.5E-2</v>
      </c>
      <c r="P733">
        <v>4.2999999999999997E-2</v>
      </c>
      <c r="R733">
        <v>2019</v>
      </c>
    </row>
    <row r="734" spans="3:18" x14ac:dyDescent="0.35">
      <c r="C734" t="s">
        <v>120</v>
      </c>
      <c r="E734">
        <v>105</v>
      </c>
      <c r="F734">
        <v>4.7960000000000003</v>
      </c>
      <c r="J734">
        <v>0.76400000000000001</v>
      </c>
      <c r="L734">
        <v>1.03</v>
      </c>
      <c r="M734">
        <v>0.55100000000000005</v>
      </c>
      <c r="N734">
        <v>0.54700000000000004</v>
      </c>
      <c r="O734">
        <v>0.16400000000000001</v>
      </c>
      <c r="P734">
        <v>0.26600000000000001</v>
      </c>
      <c r="R734">
        <v>2019</v>
      </c>
    </row>
    <row r="735" spans="3:18" x14ac:dyDescent="0.35">
      <c r="C735" t="s">
        <v>134</v>
      </c>
      <c r="E735">
        <v>106</v>
      </c>
      <c r="F735">
        <v>4.7220000000000004</v>
      </c>
      <c r="J735">
        <v>0.96</v>
      </c>
      <c r="L735">
        <v>1.351</v>
      </c>
      <c r="M735">
        <v>0.46899999999999997</v>
      </c>
      <c r="N735">
        <v>0.38900000000000001</v>
      </c>
      <c r="O735">
        <v>5.5E-2</v>
      </c>
      <c r="P735">
        <v>0.13</v>
      </c>
      <c r="R735">
        <v>2019</v>
      </c>
    </row>
    <row r="736" spans="3:18" x14ac:dyDescent="0.35">
      <c r="C736" t="s">
        <v>116</v>
      </c>
      <c r="E736">
        <v>107</v>
      </c>
      <c r="F736">
        <v>4.7190000000000003</v>
      </c>
      <c r="J736">
        <v>0.94699999999999995</v>
      </c>
      <c r="L736">
        <v>0.84799999999999998</v>
      </c>
      <c r="M736">
        <v>0.874</v>
      </c>
      <c r="N736">
        <v>0.38300000000000001</v>
      </c>
      <c r="O736">
        <v>2.7E-2</v>
      </c>
      <c r="P736">
        <v>0.17799999999999999</v>
      </c>
      <c r="R736">
        <v>2019</v>
      </c>
    </row>
    <row r="737" spans="3:18" x14ac:dyDescent="0.35">
      <c r="C737" t="s">
        <v>39</v>
      </c>
      <c r="E737">
        <v>108</v>
      </c>
      <c r="F737">
        <v>4.7069999999999999</v>
      </c>
      <c r="J737">
        <v>0.96</v>
      </c>
      <c r="L737">
        <v>1.427</v>
      </c>
      <c r="M737">
        <v>0.80500000000000005</v>
      </c>
      <c r="N737">
        <v>0.154</v>
      </c>
      <c r="O737">
        <v>4.7E-2</v>
      </c>
      <c r="P737">
        <v>6.4000000000000001E-2</v>
      </c>
      <c r="R737">
        <v>2019</v>
      </c>
    </row>
    <row r="738" spans="3:18" x14ac:dyDescent="0.35">
      <c r="C738" t="s">
        <v>166</v>
      </c>
      <c r="E738">
        <v>109</v>
      </c>
      <c r="F738">
        <v>4.7</v>
      </c>
      <c r="J738">
        <v>0.57399999999999995</v>
      </c>
      <c r="L738">
        <v>1.1220000000000001</v>
      </c>
      <c r="M738">
        <v>0.63700000000000001</v>
      </c>
      <c r="N738">
        <v>0.60899999999999999</v>
      </c>
      <c r="O738">
        <v>6.2E-2</v>
      </c>
      <c r="P738">
        <v>0.23200000000000001</v>
      </c>
      <c r="R738">
        <v>2019</v>
      </c>
    </row>
    <row r="739" spans="3:18" x14ac:dyDescent="0.35">
      <c r="C739" t="s">
        <v>129</v>
      </c>
      <c r="E739">
        <v>110</v>
      </c>
      <c r="F739">
        <v>4.6959999999999997</v>
      </c>
      <c r="J739">
        <v>0.65700000000000003</v>
      </c>
      <c r="L739">
        <v>1.2470000000000001</v>
      </c>
      <c r="M739">
        <v>0.67200000000000004</v>
      </c>
      <c r="N739">
        <v>0.22500000000000001</v>
      </c>
      <c r="O739">
        <v>6.6000000000000003E-2</v>
      </c>
      <c r="P739">
        <v>0.10299999999999999</v>
      </c>
      <c r="R739">
        <v>2019</v>
      </c>
    </row>
    <row r="740" spans="3:18" x14ac:dyDescent="0.35">
      <c r="C740" t="s">
        <v>163</v>
      </c>
      <c r="E740">
        <v>111</v>
      </c>
      <c r="F740">
        <v>4.681</v>
      </c>
      <c r="J740">
        <v>0.45</v>
      </c>
      <c r="L740">
        <v>1.1339999999999999</v>
      </c>
      <c r="M740">
        <v>0.57099999999999995</v>
      </c>
      <c r="N740">
        <v>0.29199999999999998</v>
      </c>
      <c r="O740">
        <v>7.1999999999999995E-2</v>
      </c>
      <c r="P740">
        <v>0.153</v>
      </c>
      <c r="R740">
        <v>2019</v>
      </c>
    </row>
    <row r="741" spans="3:18" x14ac:dyDescent="0.35">
      <c r="C741" t="s">
        <v>209</v>
      </c>
      <c r="E741">
        <v>112</v>
      </c>
      <c r="F741">
        <v>4.6680000000000001</v>
      </c>
      <c r="J741">
        <v>0</v>
      </c>
      <c r="L741">
        <v>0.69799999999999995</v>
      </c>
      <c r="M741">
        <v>0.26800000000000002</v>
      </c>
      <c r="N741">
        <v>0.55900000000000005</v>
      </c>
      <c r="O741">
        <v>0.27</v>
      </c>
      <c r="P741">
        <v>0.24299999999999999</v>
      </c>
      <c r="R741">
        <v>2019</v>
      </c>
    </row>
    <row r="742" spans="3:18" x14ac:dyDescent="0.35">
      <c r="C742" t="s">
        <v>211</v>
      </c>
      <c r="E742">
        <v>113</v>
      </c>
      <c r="F742">
        <v>4.6390000000000002</v>
      </c>
      <c r="J742">
        <v>0.879</v>
      </c>
      <c r="L742">
        <v>1.3129999999999999</v>
      </c>
      <c r="M742">
        <v>0.47699999999999998</v>
      </c>
      <c r="N742">
        <v>0.40100000000000002</v>
      </c>
      <c r="O742">
        <v>5.6000000000000001E-2</v>
      </c>
      <c r="P742">
        <v>7.0000000000000007E-2</v>
      </c>
      <c r="R742">
        <v>2019</v>
      </c>
    </row>
    <row r="743" spans="3:18" x14ac:dyDescent="0.35">
      <c r="C743" t="s">
        <v>165</v>
      </c>
      <c r="E743">
        <v>114</v>
      </c>
      <c r="F743">
        <v>4.6280000000000001</v>
      </c>
      <c r="J743">
        <v>0.13800000000000001</v>
      </c>
      <c r="L743">
        <v>0.77400000000000002</v>
      </c>
      <c r="M743">
        <v>0.36599999999999999</v>
      </c>
      <c r="N743">
        <v>0.318</v>
      </c>
      <c r="O743">
        <v>0.10199999999999999</v>
      </c>
      <c r="P743">
        <v>0.188</v>
      </c>
      <c r="R743">
        <v>2019</v>
      </c>
    </row>
    <row r="744" spans="3:18" x14ac:dyDescent="0.35">
      <c r="C744" t="s">
        <v>173</v>
      </c>
      <c r="E744">
        <v>115</v>
      </c>
      <c r="F744">
        <v>4.5869999999999997</v>
      </c>
      <c r="J744">
        <v>0.33100000000000002</v>
      </c>
      <c r="L744">
        <v>1.056</v>
      </c>
      <c r="M744">
        <v>0.38</v>
      </c>
      <c r="N744">
        <v>0.255</v>
      </c>
      <c r="O744">
        <v>0.113</v>
      </c>
      <c r="P744">
        <v>0.17699999999999999</v>
      </c>
      <c r="R744">
        <v>2019</v>
      </c>
    </row>
    <row r="745" spans="3:18" x14ac:dyDescent="0.35">
      <c r="C745" t="s">
        <v>148</v>
      </c>
      <c r="E745">
        <v>116</v>
      </c>
      <c r="F745">
        <v>4.5590000000000002</v>
      </c>
      <c r="J745">
        <v>0.85</v>
      </c>
      <c r="L745">
        <v>1.0549999999999999</v>
      </c>
      <c r="M745">
        <v>0.81499999999999995</v>
      </c>
      <c r="N745">
        <v>0.28299999999999997</v>
      </c>
      <c r="O745">
        <v>6.4000000000000001E-2</v>
      </c>
      <c r="P745">
        <v>9.5000000000000001E-2</v>
      </c>
      <c r="R745">
        <v>2019</v>
      </c>
    </row>
    <row r="746" spans="3:18" x14ac:dyDescent="0.35">
      <c r="C746" t="s">
        <v>131</v>
      </c>
      <c r="E746">
        <v>117</v>
      </c>
      <c r="F746">
        <v>4.548</v>
      </c>
      <c r="J746">
        <v>1.1000000000000001</v>
      </c>
      <c r="L746">
        <v>0.84199999999999997</v>
      </c>
      <c r="M746">
        <v>0.78500000000000003</v>
      </c>
      <c r="N746">
        <v>0.30499999999999999</v>
      </c>
      <c r="O746">
        <v>0.125</v>
      </c>
      <c r="P746">
        <v>0.27</v>
      </c>
      <c r="R746">
        <v>2019</v>
      </c>
    </row>
    <row r="747" spans="3:18" x14ac:dyDescent="0.35">
      <c r="C747" t="s">
        <v>171</v>
      </c>
      <c r="E747">
        <v>118</v>
      </c>
      <c r="F747">
        <v>4.5339999999999998</v>
      </c>
      <c r="J747">
        <v>0.38</v>
      </c>
      <c r="L747">
        <v>0.82899999999999996</v>
      </c>
      <c r="M747">
        <v>0.375</v>
      </c>
      <c r="N747">
        <v>0.33200000000000002</v>
      </c>
      <c r="O747">
        <v>8.5999999999999993E-2</v>
      </c>
      <c r="P747">
        <v>0.20699999999999999</v>
      </c>
      <c r="R747">
        <v>2019</v>
      </c>
    </row>
    <row r="748" spans="3:18" x14ac:dyDescent="0.35">
      <c r="C748" t="s">
        <v>151</v>
      </c>
      <c r="E748">
        <v>119</v>
      </c>
      <c r="F748">
        <v>4.5190000000000001</v>
      </c>
      <c r="J748">
        <v>0.88600000000000001</v>
      </c>
      <c r="L748">
        <v>0.66600000000000004</v>
      </c>
      <c r="M748">
        <v>0.752</v>
      </c>
      <c r="N748">
        <v>0.34599999999999997</v>
      </c>
      <c r="O748">
        <v>0.16400000000000001</v>
      </c>
      <c r="P748">
        <v>4.2999999999999997E-2</v>
      </c>
      <c r="R748">
        <v>2019</v>
      </c>
    </row>
    <row r="749" spans="3:18" x14ac:dyDescent="0.35">
      <c r="C749" t="s">
        <v>235</v>
      </c>
      <c r="E749">
        <v>120</v>
      </c>
      <c r="F749">
        <v>4.516</v>
      </c>
      <c r="J749">
        <v>0.308</v>
      </c>
      <c r="L749">
        <v>0.93899999999999995</v>
      </c>
      <c r="M749">
        <v>0.42799999999999999</v>
      </c>
      <c r="N749">
        <v>0.38200000000000001</v>
      </c>
      <c r="O749">
        <v>0.16700000000000001</v>
      </c>
      <c r="P749">
        <v>0.26900000000000002</v>
      </c>
      <c r="R749">
        <v>2019</v>
      </c>
    </row>
    <row r="750" spans="3:18" x14ac:dyDescent="0.35">
      <c r="C750" t="s">
        <v>146</v>
      </c>
      <c r="E750">
        <v>121</v>
      </c>
      <c r="F750">
        <v>4.5090000000000003</v>
      </c>
      <c r="J750">
        <v>0.51200000000000001</v>
      </c>
      <c r="L750">
        <v>0.98299999999999998</v>
      </c>
      <c r="M750">
        <v>0.58099999999999996</v>
      </c>
      <c r="N750">
        <v>0.43099999999999999</v>
      </c>
      <c r="O750">
        <v>5.2999999999999999E-2</v>
      </c>
      <c r="P750">
        <v>0.372</v>
      </c>
      <c r="R750">
        <v>2019</v>
      </c>
    </row>
    <row r="751" spans="3:18" x14ac:dyDescent="0.35">
      <c r="C751" t="s">
        <v>145</v>
      </c>
      <c r="E751">
        <v>122</v>
      </c>
      <c r="F751">
        <v>4.49</v>
      </c>
      <c r="J751">
        <v>0.56999999999999995</v>
      </c>
      <c r="L751">
        <v>1.167</v>
      </c>
      <c r="M751">
        <v>0.48899999999999999</v>
      </c>
      <c r="N751">
        <v>6.6000000000000003E-2</v>
      </c>
      <c r="O751">
        <v>8.7999999999999995E-2</v>
      </c>
      <c r="P751">
        <v>0.106</v>
      </c>
      <c r="R751">
        <v>2019</v>
      </c>
    </row>
    <row r="752" spans="3:18" x14ac:dyDescent="0.35">
      <c r="C752" t="s">
        <v>115</v>
      </c>
      <c r="E752">
        <v>123</v>
      </c>
      <c r="F752">
        <v>4.4660000000000002</v>
      </c>
      <c r="J752">
        <v>0.20399999999999999</v>
      </c>
      <c r="L752">
        <v>0.98599999999999999</v>
      </c>
      <c r="M752">
        <v>0.39</v>
      </c>
      <c r="N752">
        <v>0.49399999999999999</v>
      </c>
      <c r="O752">
        <v>0.13800000000000001</v>
      </c>
      <c r="P752">
        <v>0.19700000000000001</v>
      </c>
      <c r="R752">
        <v>2019</v>
      </c>
    </row>
    <row r="753" spans="3:18" x14ac:dyDescent="0.35">
      <c r="C753" t="s">
        <v>128</v>
      </c>
      <c r="E753">
        <v>124</v>
      </c>
      <c r="F753">
        <v>4.4610000000000003</v>
      </c>
      <c r="J753">
        <v>0.92100000000000004</v>
      </c>
      <c r="L753">
        <v>1</v>
      </c>
      <c r="M753">
        <v>0.81499999999999995</v>
      </c>
      <c r="N753">
        <v>0.16700000000000001</v>
      </c>
      <c r="O753">
        <v>5.5E-2</v>
      </c>
      <c r="P753">
        <v>5.8999999999999997E-2</v>
      </c>
      <c r="R753">
        <v>2019</v>
      </c>
    </row>
    <row r="754" spans="3:18" x14ac:dyDescent="0.35">
      <c r="C754" t="s">
        <v>130</v>
      </c>
      <c r="E754">
        <v>125</v>
      </c>
      <c r="F754">
        <v>4.4560000000000004</v>
      </c>
      <c r="J754">
        <v>0.56200000000000006</v>
      </c>
      <c r="L754">
        <v>0.92800000000000005</v>
      </c>
      <c r="M754">
        <v>0.72299999999999998</v>
      </c>
      <c r="N754">
        <v>0.52700000000000002</v>
      </c>
      <c r="O754">
        <v>0.14299999999999999</v>
      </c>
      <c r="P754">
        <v>0.16600000000000001</v>
      </c>
      <c r="R754">
        <v>2019</v>
      </c>
    </row>
    <row r="755" spans="3:18" x14ac:dyDescent="0.35">
      <c r="C755" t="s">
        <v>133</v>
      </c>
      <c r="E755">
        <v>126</v>
      </c>
      <c r="F755">
        <v>4.4370000000000003</v>
      </c>
      <c r="J755">
        <v>1.0429999999999999</v>
      </c>
      <c r="L755">
        <v>0.98</v>
      </c>
      <c r="M755">
        <v>0.57399999999999995</v>
      </c>
      <c r="N755">
        <v>0.24099999999999999</v>
      </c>
      <c r="O755">
        <v>8.8999999999999996E-2</v>
      </c>
      <c r="P755">
        <v>0.14799999999999999</v>
      </c>
      <c r="R755">
        <v>2019</v>
      </c>
    </row>
    <row r="756" spans="3:18" x14ac:dyDescent="0.35">
      <c r="C756" t="s">
        <v>141</v>
      </c>
      <c r="E756">
        <v>127</v>
      </c>
      <c r="F756">
        <v>4.4180000000000001</v>
      </c>
      <c r="J756">
        <v>9.4E-2</v>
      </c>
      <c r="L756">
        <v>1.125</v>
      </c>
      <c r="M756">
        <v>0.35699999999999998</v>
      </c>
      <c r="N756">
        <v>0.26900000000000002</v>
      </c>
      <c r="O756">
        <v>5.2999999999999999E-2</v>
      </c>
      <c r="P756">
        <v>0.21199999999999999</v>
      </c>
      <c r="R756">
        <v>2019</v>
      </c>
    </row>
    <row r="757" spans="3:18" x14ac:dyDescent="0.35">
      <c r="C757" t="s">
        <v>159</v>
      </c>
      <c r="E757">
        <v>128</v>
      </c>
      <c r="F757">
        <v>4.3899999999999997</v>
      </c>
      <c r="J757">
        <v>0.38500000000000001</v>
      </c>
      <c r="L757">
        <v>1.105</v>
      </c>
      <c r="M757">
        <v>0.308</v>
      </c>
      <c r="N757">
        <v>0.32700000000000001</v>
      </c>
      <c r="O757">
        <v>5.1999999999999998E-2</v>
      </c>
      <c r="P757">
        <v>0.153</v>
      </c>
      <c r="R757">
        <v>2019</v>
      </c>
    </row>
    <row r="758" spans="3:18" x14ac:dyDescent="0.35">
      <c r="C758" t="s">
        <v>144</v>
      </c>
      <c r="E758">
        <v>129</v>
      </c>
      <c r="F758">
        <v>4.3739999999999997</v>
      </c>
      <c r="J758">
        <v>0.26800000000000002</v>
      </c>
      <c r="L758">
        <v>0.84099999999999997</v>
      </c>
      <c r="M758">
        <v>0.24199999999999999</v>
      </c>
      <c r="N758">
        <v>0.309</v>
      </c>
      <c r="O758">
        <v>4.4999999999999998E-2</v>
      </c>
      <c r="P758">
        <v>0.252</v>
      </c>
      <c r="R758">
        <v>2019</v>
      </c>
    </row>
    <row r="759" spans="3:18" x14ac:dyDescent="0.35">
      <c r="C759" t="s">
        <v>153</v>
      </c>
      <c r="E759">
        <v>130</v>
      </c>
      <c r="F759">
        <v>4.3659999999999997</v>
      </c>
      <c r="J759">
        <v>0.94899999999999995</v>
      </c>
      <c r="L759">
        <v>1.2649999999999999</v>
      </c>
      <c r="M759">
        <v>0.83099999999999996</v>
      </c>
      <c r="N759">
        <v>0.47</v>
      </c>
      <c r="O759">
        <v>4.7E-2</v>
      </c>
      <c r="P759">
        <v>0.24399999999999999</v>
      </c>
      <c r="R759">
        <v>2019</v>
      </c>
    </row>
    <row r="760" spans="3:18" x14ac:dyDescent="0.35">
      <c r="C760" t="s">
        <v>150</v>
      </c>
      <c r="E760">
        <v>131</v>
      </c>
      <c r="F760">
        <v>4.3600000000000003</v>
      </c>
      <c r="J760">
        <v>0.71</v>
      </c>
      <c r="L760">
        <v>1.181</v>
      </c>
      <c r="M760">
        <v>0.55500000000000005</v>
      </c>
      <c r="N760">
        <v>0.52500000000000002</v>
      </c>
      <c r="O760">
        <v>0.17199999999999999</v>
      </c>
      <c r="P760">
        <v>0.56599999999999995</v>
      </c>
      <c r="R760">
        <v>2019</v>
      </c>
    </row>
    <row r="761" spans="3:18" x14ac:dyDescent="0.35">
      <c r="C761" t="s">
        <v>170</v>
      </c>
      <c r="E761">
        <v>132</v>
      </c>
      <c r="F761">
        <v>4.3499999999999996</v>
      </c>
      <c r="J761">
        <v>0.35</v>
      </c>
      <c r="L761">
        <v>0.76600000000000001</v>
      </c>
      <c r="M761">
        <v>0.192</v>
      </c>
      <c r="N761">
        <v>0.17399999999999999</v>
      </c>
      <c r="O761">
        <v>7.8E-2</v>
      </c>
      <c r="P761">
        <v>0.19800000000000001</v>
      </c>
      <c r="R761">
        <v>2019</v>
      </c>
    </row>
    <row r="762" spans="3:18" x14ac:dyDescent="0.35">
      <c r="C762" t="s">
        <v>132</v>
      </c>
      <c r="E762">
        <v>133</v>
      </c>
      <c r="F762">
        <v>4.3319999999999999</v>
      </c>
      <c r="J762">
        <v>0.82</v>
      </c>
      <c r="L762">
        <v>1.39</v>
      </c>
      <c r="M762">
        <v>0.73899999999999999</v>
      </c>
      <c r="N762">
        <v>0.17799999999999999</v>
      </c>
      <c r="O762">
        <v>0.01</v>
      </c>
      <c r="P762">
        <v>0.187</v>
      </c>
      <c r="R762">
        <v>2019</v>
      </c>
    </row>
    <row r="763" spans="3:18" x14ac:dyDescent="0.35">
      <c r="C763" t="s">
        <v>143</v>
      </c>
      <c r="E763">
        <v>134</v>
      </c>
      <c r="F763">
        <v>4.2859999999999996</v>
      </c>
      <c r="J763">
        <v>0.33600000000000002</v>
      </c>
      <c r="L763">
        <v>1.0329999999999999</v>
      </c>
      <c r="M763">
        <v>0.53200000000000003</v>
      </c>
      <c r="N763">
        <v>0.34399999999999997</v>
      </c>
      <c r="O763">
        <v>0.1</v>
      </c>
      <c r="P763">
        <v>0.20899999999999999</v>
      </c>
      <c r="R763">
        <v>2019</v>
      </c>
    </row>
    <row r="764" spans="3:18" x14ac:dyDescent="0.35">
      <c r="C764" t="s">
        <v>122</v>
      </c>
      <c r="E764">
        <v>135</v>
      </c>
      <c r="F764">
        <v>4.2119999999999997</v>
      </c>
      <c r="J764">
        <v>0.81100000000000005</v>
      </c>
      <c r="L764">
        <v>1.149</v>
      </c>
      <c r="M764">
        <v>0</v>
      </c>
      <c r="N764">
        <v>0.313</v>
      </c>
      <c r="O764">
        <v>0.13500000000000001</v>
      </c>
      <c r="P764">
        <v>7.3999999999999996E-2</v>
      </c>
      <c r="R764">
        <v>2019</v>
      </c>
    </row>
    <row r="765" spans="3:18" x14ac:dyDescent="0.35">
      <c r="C765" t="s">
        <v>162</v>
      </c>
      <c r="E765">
        <v>136</v>
      </c>
      <c r="F765">
        <v>4.1890000000000001</v>
      </c>
      <c r="J765">
        <v>0.33200000000000002</v>
      </c>
      <c r="L765">
        <v>1.069</v>
      </c>
      <c r="M765">
        <v>0.443</v>
      </c>
      <c r="N765">
        <v>0.35599999999999998</v>
      </c>
      <c r="O765">
        <v>0.06</v>
      </c>
      <c r="P765">
        <v>0.252</v>
      </c>
      <c r="R765">
        <v>2019</v>
      </c>
    </row>
    <row r="766" spans="3:18" x14ac:dyDescent="0.35">
      <c r="C766" t="s">
        <v>156</v>
      </c>
      <c r="E766">
        <v>137</v>
      </c>
      <c r="F766">
        <v>4.1660000000000004</v>
      </c>
      <c r="J766">
        <v>0.91300000000000003</v>
      </c>
      <c r="L766">
        <v>1.0389999999999999</v>
      </c>
      <c r="M766">
        <v>0.64400000000000002</v>
      </c>
      <c r="N766">
        <v>0.24099999999999999</v>
      </c>
      <c r="O766">
        <v>6.7000000000000004E-2</v>
      </c>
      <c r="P766">
        <v>7.5999999999999998E-2</v>
      </c>
      <c r="R766">
        <v>2019</v>
      </c>
    </row>
    <row r="767" spans="3:18" x14ac:dyDescent="0.35">
      <c r="C767" t="s">
        <v>106</v>
      </c>
      <c r="E767">
        <v>138</v>
      </c>
      <c r="F767">
        <v>4.1070000000000002</v>
      </c>
      <c r="J767">
        <v>0.57799999999999996</v>
      </c>
      <c r="L767">
        <v>1.0580000000000001</v>
      </c>
      <c r="M767">
        <v>0.42599999999999999</v>
      </c>
      <c r="N767">
        <v>0.43099999999999999</v>
      </c>
      <c r="O767">
        <v>8.6999999999999994E-2</v>
      </c>
      <c r="P767">
        <v>0.247</v>
      </c>
      <c r="R767">
        <v>2019</v>
      </c>
    </row>
    <row r="768" spans="3:18" x14ac:dyDescent="0.35">
      <c r="C768" t="s">
        <v>179</v>
      </c>
      <c r="E768">
        <v>139</v>
      </c>
      <c r="F768">
        <v>4.085</v>
      </c>
      <c r="J768">
        <v>0.27500000000000002</v>
      </c>
      <c r="L768">
        <v>0.57199999999999995</v>
      </c>
      <c r="M768">
        <v>0.41</v>
      </c>
      <c r="N768">
        <v>0.29299999999999998</v>
      </c>
      <c r="O768">
        <v>8.5000000000000006E-2</v>
      </c>
      <c r="P768">
        <v>0.17699999999999999</v>
      </c>
      <c r="R768">
        <v>2019</v>
      </c>
    </row>
    <row r="769" spans="3:18" x14ac:dyDescent="0.35">
      <c r="C769" t="s">
        <v>138</v>
      </c>
      <c r="E769">
        <v>140</v>
      </c>
      <c r="F769">
        <v>4.0149999999999997</v>
      </c>
      <c r="J769">
        <v>0.755</v>
      </c>
      <c r="L769">
        <v>0.76500000000000001</v>
      </c>
      <c r="M769">
        <v>0.58799999999999997</v>
      </c>
      <c r="N769">
        <v>0.498</v>
      </c>
      <c r="O769">
        <v>8.5000000000000006E-2</v>
      </c>
      <c r="P769">
        <v>0.2</v>
      </c>
      <c r="R769">
        <v>2019</v>
      </c>
    </row>
    <row r="770" spans="3:18" x14ac:dyDescent="0.35">
      <c r="C770" t="s">
        <v>137</v>
      </c>
      <c r="E770">
        <v>141</v>
      </c>
      <c r="F770">
        <v>3.9750000000000001</v>
      </c>
      <c r="J770">
        <v>7.2999999999999995E-2</v>
      </c>
      <c r="L770">
        <v>0.92200000000000004</v>
      </c>
      <c r="M770">
        <v>0.443</v>
      </c>
      <c r="N770">
        <v>0.37</v>
      </c>
      <c r="O770">
        <v>3.3000000000000002E-2</v>
      </c>
      <c r="P770">
        <v>0.23300000000000001</v>
      </c>
      <c r="R770">
        <v>2019</v>
      </c>
    </row>
    <row r="771" spans="3:18" x14ac:dyDescent="0.35">
      <c r="C771" t="s">
        <v>161</v>
      </c>
      <c r="E771">
        <v>142</v>
      </c>
      <c r="F771">
        <v>3.9729999999999999</v>
      </c>
      <c r="J771">
        <v>0.27400000000000002</v>
      </c>
      <c r="L771">
        <v>0.75700000000000001</v>
      </c>
      <c r="M771">
        <v>0.505</v>
      </c>
      <c r="N771">
        <v>0.14199999999999999</v>
      </c>
      <c r="O771">
        <v>7.8E-2</v>
      </c>
      <c r="P771">
        <v>0.27500000000000002</v>
      </c>
      <c r="R771">
        <v>2019</v>
      </c>
    </row>
    <row r="772" spans="3:18" x14ac:dyDescent="0.35">
      <c r="C772" t="s">
        <v>168</v>
      </c>
      <c r="E772">
        <v>143</v>
      </c>
      <c r="F772">
        <v>3.9329999999999998</v>
      </c>
      <c r="J772">
        <v>0.27400000000000002</v>
      </c>
      <c r="L772">
        <v>0.91600000000000004</v>
      </c>
      <c r="M772">
        <v>0.55500000000000005</v>
      </c>
      <c r="N772">
        <v>0.14799999999999999</v>
      </c>
      <c r="O772">
        <v>4.1000000000000002E-2</v>
      </c>
      <c r="P772">
        <v>0.16900000000000001</v>
      </c>
      <c r="R772">
        <v>2019</v>
      </c>
    </row>
    <row r="773" spans="3:18" x14ac:dyDescent="0.35">
      <c r="C773" t="s">
        <v>118</v>
      </c>
      <c r="E773">
        <v>144</v>
      </c>
      <c r="F773">
        <v>3.802</v>
      </c>
      <c r="J773">
        <v>0.48899999999999999</v>
      </c>
      <c r="L773">
        <v>1.169</v>
      </c>
      <c r="M773">
        <v>0.16800000000000001</v>
      </c>
      <c r="N773">
        <v>0.35899999999999999</v>
      </c>
      <c r="O773">
        <v>9.2999999999999999E-2</v>
      </c>
      <c r="P773">
        <v>0.107</v>
      </c>
      <c r="R773">
        <v>2019</v>
      </c>
    </row>
    <row r="774" spans="3:18" x14ac:dyDescent="0.35">
      <c r="C774" t="s">
        <v>178</v>
      </c>
      <c r="E774">
        <v>145</v>
      </c>
      <c r="F774">
        <v>3.7749999999999999</v>
      </c>
      <c r="J774">
        <v>4.5999999999999999E-2</v>
      </c>
      <c r="L774">
        <v>0.44700000000000001</v>
      </c>
      <c r="M774">
        <v>0.38</v>
      </c>
      <c r="N774">
        <v>0.22</v>
      </c>
      <c r="O774">
        <v>0.18</v>
      </c>
      <c r="P774">
        <v>0.17599999999999999</v>
      </c>
      <c r="R774">
        <v>2019</v>
      </c>
    </row>
    <row r="775" spans="3:18" x14ac:dyDescent="0.35">
      <c r="C775" t="s">
        <v>136</v>
      </c>
      <c r="E775">
        <v>146</v>
      </c>
      <c r="F775">
        <v>3.6629999999999998</v>
      </c>
      <c r="J775">
        <v>0.36599999999999999</v>
      </c>
      <c r="L775">
        <v>1.1140000000000001</v>
      </c>
      <c r="M775">
        <v>0.433</v>
      </c>
      <c r="N775">
        <v>0.36099999999999999</v>
      </c>
      <c r="O775">
        <v>8.8999999999999996E-2</v>
      </c>
      <c r="P775">
        <v>0.151</v>
      </c>
      <c r="R775">
        <v>2019</v>
      </c>
    </row>
    <row r="776" spans="3:18" x14ac:dyDescent="0.35">
      <c r="C776" t="s">
        <v>140</v>
      </c>
      <c r="E776">
        <v>147</v>
      </c>
      <c r="F776">
        <v>3.597</v>
      </c>
      <c r="J776">
        <v>0.32300000000000001</v>
      </c>
      <c r="L776">
        <v>0.68799999999999994</v>
      </c>
      <c r="M776">
        <v>0.44900000000000001</v>
      </c>
      <c r="N776">
        <v>2.5999999999999999E-2</v>
      </c>
      <c r="O776">
        <v>0.11</v>
      </c>
      <c r="P776">
        <v>0.41899999999999998</v>
      </c>
      <c r="R776">
        <v>2019</v>
      </c>
    </row>
    <row r="777" spans="3:18" x14ac:dyDescent="0.35">
      <c r="C777" t="s">
        <v>149</v>
      </c>
      <c r="E777">
        <v>148</v>
      </c>
      <c r="F777">
        <v>3.488</v>
      </c>
      <c r="J777">
        <v>1.0409999999999999</v>
      </c>
      <c r="L777">
        <v>1.145</v>
      </c>
      <c r="M777">
        <v>0.53800000000000003</v>
      </c>
      <c r="N777">
        <v>0.45500000000000002</v>
      </c>
      <c r="O777">
        <v>0.1</v>
      </c>
      <c r="P777">
        <v>2.5000000000000001E-2</v>
      </c>
      <c r="R777">
        <v>2019</v>
      </c>
    </row>
    <row r="778" spans="3:18" x14ac:dyDescent="0.35">
      <c r="C778" t="s">
        <v>177</v>
      </c>
      <c r="E778">
        <v>149</v>
      </c>
      <c r="F778">
        <v>3.4620000000000002</v>
      </c>
      <c r="J778">
        <v>0.61899999999999999</v>
      </c>
      <c r="L778">
        <v>0.378</v>
      </c>
      <c r="M778">
        <v>0.44</v>
      </c>
      <c r="N778">
        <v>1.2999999999999999E-2</v>
      </c>
      <c r="O778">
        <v>0.14099999999999999</v>
      </c>
      <c r="P778">
        <v>0.33100000000000002</v>
      </c>
      <c r="R778">
        <v>2019</v>
      </c>
    </row>
    <row r="779" spans="3:18" x14ac:dyDescent="0.35">
      <c r="C779" t="s">
        <v>152</v>
      </c>
      <c r="E779">
        <v>150</v>
      </c>
      <c r="F779">
        <v>3.41</v>
      </c>
      <c r="J779">
        <v>0.191</v>
      </c>
      <c r="L779">
        <v>0.56000000000000005</v>
      </c>
      <c r="M779">
        <v>0.495</v>
      </c>
      <c r="N779">
        <v>0.443</v>
      </c>
      <c r="O779">
        <v>8.8999999999999996E-2</v>
      </c>
      <c r="P779">
        <v>0.218</v>
      </c>
      <c r="R779">
        <v>2019</v>
      </c>
    </row>
    <row r="780" spans="3:18" x14ac:dyDescent="0.35">
      <c r="C780" t="s">
        <v>157</v>
      </c>
      <c r="E780">
        <v>151</v>
      </c>
      <c r="F780">
        <v>3.38</v>
      </c>
      <c r="J780">
        <v>0.28699999999999998</v>
      </c>
      <c r="L780">
        <v>1.163</v>
      </c>
      <c r="M780">
        <v>0.46300000000000002</v>
      </c>
      <c r="N780">
        <v>0.14299999999999999</v>
      </c>
      <c r="O780">
        <v>7.6999999999999999E-2</v>
      </c>
      <c r="P780">
        <v>0.108</v>
      </c>
      <c r="R780">
        <v>2019</v>
      </c>
    </row>
    <row r="781" spans="3:18" x14ac:dyDescent="0.35">
      <c r="C781" t="s">
        <v>175</v>
      </c>
      <c r="E781">
        <v>152</v>
      </c>
      <c r="F781">
        <v>3.3340000000000001</v>
      </c>
      <c r="J781">
        <v>0.35899999999999999</v>
      </c>
      <c r="L781">
        <v>0.71099999999999997</v>
      </c>
      <c r="M781">
        <v>0.61399999999999999</v>
      </c>
      <c r="N781">
        <v>0.55500000000000005</v>
      </c>
      <c r="O781">
        <v>0.41099999999999998</v>
      </c>
      <c r="P781">
        <v>0.217</v>
      </c>
      <c r="R781">
        <v>2019</v>
      </c>
    </row>
    <row r="782" spans="3:18" x14ac:dyDescent="0.35">
      <c r="C782" t="s">
        <v>167</v>
      </c>
      <c r="E782">
        <v>153</v>
      </c>
      <c r="F782">
        <v>3.2309999999999999</v>
      </c>
      <c r="J782">
        <v>0.47599999999999998</v>
      </c>
      <c r="L782">
        <v>0.88500000000000001</v>
      </c>
      <c r="M782">
        <v>0.499</v>
      </c>
      <c r="N782">
        <v>0.41699999999999998</v>
      </c>
      <c r="O782">
        <v>0.14699999999999999</v>
      </c>
      <c r="P782">
        <v>0.27600000000000002</v>
      </c>
      <c r="R782">
        <v>2019</v>
      </c>
    </row>
    <row r="783" spans="3:18" x14ac:dyDescent="0.35">
      <c r="C783" t="s">
        <v>174</v>
      </c>
      <c r="E783">
        <v>154</v>
      </c>
      <c r="F783">
        <v>3.2029999999999998</v>
      </c>
      <c r="J783">
        <v>0.35</v>
      </c>
      <c r="L783">
        <v>0.51700000000000002</v>
      </c>
      <c r="M783">
        <v>0.36099999999999999</v>
      </c>
      <c r="N783">
        <v>0</v>
      </c>
      <c r="O783">
        <v>2.5000000000000001E-2</v>
      </c>
      <c r="P783">
        <v>0.158</v>
      </c>
      <c r="R783">
        <v>2019</v>
      </c>
    </row>
    <row r="784" spans="3:18" x14ac:dyDescent="0.35">
      <c r="C784" t="s">
        <v>169</v>
      </c>
      <c r="E784">
        <v>155</v>
      </c>
      <c r="F784">
        <v>3.0830000000000002</v>
      </c>
      <c r="J784">
        <v>2.5999999999999999E-2</v>
      </c>
      <c r="L784">
        <v>0</v>
      </c>
      <c r="M784">
        <v>0.105</v>
      </c>
      <c r="N784">
        <v>0.22500000000000001</v>
      </c>
      <c r="O784">
        <v>3.5000000000000003E-2</v>
      </c>
      <c r="P784">
        <v>0.23499999999999999</v>
      </c>
      <c r="R784">
        <v>2019</v>
      </c>
    </row>
    <row r="785" spans="3:18" x14ac:dyDescent="0.35">
      <c r="C785" t="s">
        <v>212</v>
      </c>
      <c r="E785">
        <v>156</v>
      </c>
      <c r="F785">
        <v>2.8530000000000002</v>
      </c>
      <c r="J785">
        <v>0.30599999999999999</v>
      </c>
      <c r="L785">
        <v>0.57499999999999996</v>
      </c>
      <c r="M785">
        <v>0.29499999999999998</v>
      </c>
      <c r="N785">
        <v>0.01</v>
      </c>
      <c r="O785">
        <v>9.0999999999999998E-2</v>
      </c>
      <c r="P785">
        <v>0.20200000000000001</v>
      </c>
      <c r="R785">
        <v>2019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1AFE-2F6C-4700-A363-9920470083C3}">
  <dimension ref="A4:AF703"/>
  <sheetViews>
    <sheetView topLeftCell="A562" zoomScale="80" zoomScaleNormal="80" workbookViewId="0">
      <selection activeCell="F653" sqref="F653"/>
    </sheetView>
  </sheetViews>
  <sheetFormatPr defaultRowHeight="14.5" x14ac:dyDescent="0.35"/>
  <cols>
    <col min="4" max="4" width="24.6640625" customWidth="1"/>
    <col min="5" max="5" width="23.1640625" bestFit="1" customWidth="1"/>
    <col min="6" max="6" width="21.33203125" customWidth="1"/>
    <col min="7" max="7" width="11.75" bestFit="1" customWidth="1"/>
    <col min="8" max="8" width="15.1640625" customWidth="1"/>
    <col min="9" max="10" width="15.9140625" customWidth="1"/>
    <col min="11" max="12" width="23.25" customWidth="1"/>
    <col min="13" max="15" width="23.58203125" customWidth="1"/>
    <col min="16" max="17" width="22" customWidth="1"/>
    <col min="18" max="20" width="26.83203125" customWidth="1"/>
    <col min="21" max="22" width="16.75" customWidth="1"/>
    <col min="23" max="23" width="13.1640625" customWidth="1"/>
    <col min="24" max="24" width="10.83203125" customWidth="1"/>
    <col min="25" max="25" width="11.58203125" customWidth="1"/>
    <col min="26" max="26" width="15.33203125" customWidth="1"/>
    <col min="27" max="27" width="13.1640625" customWidth="1"/>
    <col min="28" max="28" width="15.33203125" customWidth="1"/>
    <col min="29" max="29" width="13.1640625" customWidth="1"/>
    <col min="30" max="30" width="14.9140625" customWidth="1"/>
    <col min="31" max="31" width="12" customWidth="1"/>
    <col min="32" max="32" width="11.08203125" customWidth="1"/>
  </cols>
  <sheetData>
    <row r="4" spans="1:7" ht="26" x14ac:dyDescent="0.6">
      <c r="A4" s="7" t="s">
        <v>242</v>
      </c>
      <c r="B4" s="7" t="s">
        <v>242</v>
      </c>
      <c r="C4" s="8" t="s">
        <v>241</v>
      </c>
    </row>
    <row r="6" spans="1:7" x14ac:dyDescent="0.35">
      <c r="D6" t="s">
        <v>243</v>
      </c>
      <c r="G6">
        <f>COUNTA(_xlfn.UNIQUE(Data[Country]))</f>
        <v>169</v>
      </c>
    </row>
    <row r="7" spans="1:7" x14ac:dyDescent="0.35">
      <c r="D7" t="s">
        <v>244</v>
      </c>
      <c r="G7">
        <f>COUNTA(_xlfn.UNIQUE(Data[Region]))</f>
        <v>11</v>
      </c>
    </row>
    <row r="25" spans="1:6" ht="26" x14ac:dyDescent="0.6">
      <c r="A25" s="7" t="s">
        <v>242</v>
      </c>
      <c r="B25" s="7" t="s">
        <v>242</v>
      </c>
      <c r="C25" s="8" t="s">
        <v>3</v>
      </c>
    </row>
    <row r="26" spans="1:6" x14ac:dyDescent="0.35">
      <c r="D26" s="4" t="s">
        <v>245</v>
      </c>
    </row>
    <row r="28" spans="1:6" x14ac:dyDescent="0.35">
      <c r="D28" t="s">
        <v>246</v>
      </c>
      <c r="E28" t="s">
        <v>247</v>
      </c>
      <c r="F28" t="s">
        <v>248</v>
      </c>
    </row>
    <row r="29" spans="1:6" x14ac:dyDescent="0.35">
      <c r="D29">
        <v>5.3790179029986653</v>
      </c>
      <c r="E29">
        <v>2.6930000782012899</v>
      </c>
      <c r="F29">
        <v>7.7690000000000001</v>
      </c>
    </row>
    <row r="40" spans="1:6" ht="26" x14ac:dyDescent="0.6">
      <c r="A40" s="7" t="s">
        <v>242</v>
      </c>
      <c r="B40" s="7" t="s">
        <v>242</v>
      </c>
      <c r="C40" s="8" t="s">
        <v>4</v>
      </c>
    </row>
    <row r="41" spans="1:6" x14ac:dyDescent="0.35">
      <c r="D41" s="4" t="s">
        <v>186</v>
      </c>
    </row>
    <row r="43" spans="1:6" x14ac:dyDescent="0.35">
      <c r="D43" t="s">
        <v>249</v>
      </c>
      <c r="E43" t="s">
        <v>250</v>
      </c>
      <c r="F43" t="s">
        <v>251</v>
      </c>
    </row>
    <row r="44" spans="1:6" x14ac:dyDescent="0.35">
      <c r="B44" s="4"/>
      <c r="D44">
        <v>4.7884746835443061E-2</v>
      </c>
      <c r="E44">
        <v>1.848E-2</v>
      </c>
      <c r="F44">
        <v>0.13693</v>
      </c>
    </row>
    <row r="45" spans="1:6" x14ac:dyDescent="0.35">
      <c r="B45" s="4"/>
    </row>
    <row r="46" spans="1:6" x14ac:dyDescent="0.35">
      <c r="B46" s="4"/>
    </row>
    <row r="47" spans="1:6" x14ac:dyDescent="0.35">
      <c r="C47" s="4"/>
    </row>
    <row r="48" spans="1:6" x14ac:dyDescent="0.35">
      <c r="C48" s="4"/>
    </row>
    <row r="50" spans="1:6" ht="26" x14ac:dyDescent="0.6">
      <c r="A50" s="7" t="s">
        <v>242</v>
      </c>
      <c r="B50" s="7" t="s">
        <v>242</v>
      </c>
      <c r="C50" s="8" t="s">
        <v>252</v>
      </c>
    </row>
    <row r="51" spans="1:6" x14ac:dyDescent="0.35">
      <c r="D51" s="4" t="s">
        <v>253</v>
      </c>
    </row>
    <row r="53" spans="1:6" x14ac:dyDescent="0.35">
      <c r="D53" t="s">
        <v>254</v>
      </c>
      <c r="E53" t="s">
        <v>255</v>
      </c>
      <c r="F53" t="s">
        <v>256</v>
      </c>
    </row>
    <row r="54" spans="1:6" x14ac:dyDescent="0.35">
      <c r="D54">
        <v>5.3668156609268243</v>
      </c>
      <c r="E54">
        <v>2.7320000000000002</v>
      </c>
      <c r="F54">
        <v>7.62203047305346</v>
      </c>
    </row>
    <row r="56" spans="1:6" x14ac:dyDescent="0.35">
      <c r="D56" t="s">
        <v>257</v>
      </c>
      <c r="E56" t="s">
        <v>258</v>
      </c>
      <c r="F56" t="s">
        <v>259</v>
      </c>
    </row>
    <row r="57" spans="1:6" x14ac:dyDescent="0.35">
      <c r="D57">
        <v>5.3695689553870123</v>
      </c>
      <c r="E57">
        <v>2.5211158871650698</v>
      </c>
      <c r="F57">
        <v>7.6689999999999996</v>
      </c>
    </row>
    <row r="59" spans="1:6" x14ac:dyDescent="0.35">
      <c r="C59" s="4"/>
    </row>
    <row r="60" spans="1:6" x14ac:dyDescent="0.35">
      <c r="C60" s="4"/>
    </row>
    <row r="65" spans="1:6" ht="26" x14ac:dyDescent="0.6">
      <c r="A65" s="7" t="s">
        <v>242</v>
      </c>
      <c r="B65" s="7" t="s">
        <v>242</v>
      </c>
      <c r="C65" s="8" t="s">
        <v>5</v>
      </c>
    </row>
    <row r="66" spans="1:6" x14ac:dyDescent="0.35">
      <c r="D66" s="4" t="s">
        <v>187</v>
      </c>
    </row>
    <row r="68" spans="1:6" x14ac:dyDescent="0.35">
      <c r="D68" t="s">
        <v>260</v>
      </c>
      <c r="E68" t="s">
        <v>261</v>
      </c>
      <c r="F68" t="s">
        <v>262</v>
      </c>
    </row>
    <row r="69" spans="1:6" x14ac:dyDescent="0.35">
      <c r="D69">
        <v>0.91604748248297274</v>
      </c>
      <c r="E69">
        <v>0</v>
      </c>
      <c r="F69">
        <v>2.0960000000000001</v>
      </c>
    </row>
    <row r="70" spans="1:6" x14ac:dyDescent="0.35">
      <c r="C70" s="4"/>
    </row>
    <row r="75" spans="1:6" ht="26" x14ac:dyDescent="0.6">
      <c r="A75" s="7" t="s">
        <v>242</v>
      </c>
      <c r="B75" s="7" t="s">
        <v>242</v>
      </c>
      <c r="C75" s="8" t="s">
        <v>6</v>
      </c>
    </row>
    <row r="76" spans="1:6" x14ac:dyDescent="0.35">
      <c r="D76" s="4" t="s">
        <v>188</v>
      </c>
    </row>
    <row r="77" spans="1:6" x14ac:dyDescent="0.35">
      <c r="D77" t="s">
        <v>263</v>
      </c>
      <c r="E77" t="s">
        <v>264</v>
      </c>
      <c r="F77" t="s">
        <v>265</v>
      </c>
    </row>
    <row r="78" spans="1:6" x14ac:dyDescent="0.35">
      <c r="D78">
        <v>0.99034664110735626</v>
      </c>
      <c r="E78">
        <v>0</v>
      </c>
      <c r="F78">
        <v>1.6105740070343</v>
      </c>
    </row>
    <row r="85" spans="1:6" ht="26" x14ac:dyDescent="0.6">
      <c r="A85" s="7" t="s">
        <v>242</v>
      </c>
      <c r="B85" s="7" t="s">
        <v>242</v>
      </c>
      <c r="C85" s="8" t="s">
        <v>203</v>
      </c>
    </row>
    <row r="86" spans="1:6" x14ac:dyDescent="0.35">
      <c r="D86" s="4" t="s">
        <v>290</v>
      </c>
    </row>
    <row r="88" spans="1:6" x14ac:dyDescent="0.35">
      <c r="D88" t="s">
        <v>266</v>
      </c>
      <c r="E88" t="s">
        <v>267</v>
      </c>
      <c r="F88" t="s">
        <v>268</v>
      </c>
    </row>
    <row r="89" spans="1:6" x14ac:dyDescent="0.35">
      <c r="D89">
        <v>1.211025641025641</v>
      </c>
      <c r="E89">
        <v>0</v>
      </c>
      <c r="F89">
        <v>1.6439999999999999</v>
      </c>
    </row>
    <row r="95" spans="1:6" ht="26" x14ac:dyDescent="0.6">
      <c r="A95" s="7" t="s">
        <v>242</v>
      </c>
      <c r="B95" s="7" t="s">
        <v>242</v>
      </c>
      <c r="C95" s="8" t="s">
        <v>7</v>
      </c>
    </row>
    <row r="96" spans="1:6" x14ac:dyDescent="0.35">
      <c r="D96" s="4" t="s">
        <v>189</v>
      </c>
    </row>
    <row r="97" spans="1:6" x14ac:dyDescent="0.35">
      <c r="C97" s="4"/>
    </row>
    <row r="98" spans="1:6" x14ac:dyDescent="0.35">
      <c r="C98" s="4"/>
      <c r="D98" t="s">
        <v>269</v>
      </c>
      <c r="E98" t="s">
        <v>270</v>
      </c>
      <c r="F98" t="s">
        <v>271</v>
      </c>
    </row>
    <row r="99" spans="1:6" x14ac:dyDescent="0.35">
      <c r="D99">
        <v>0.61241557711625316</v>
      </c>
      <c r="E99">
        <v>0</v>
      </c>
      <c r="F99">
        <v>1.141</v>
      </c>
    </row>
    <row r="105" spans="1:6" ht="26" x14ac:dyDescent="0.6">
      <c r="A105" s="7" t="s">
        <v>242</v>
      </c>
      <c r="B105" s="7" t="s">
        <v>242</v>
      </c>
      <c r="C105" s="8" t="s">
        <v>8</v>
      </c>
    </row>
    <row r="106" spans="1:6" x14ac:dyDescent="0.35">
      <c r="D106" s="4" t="s">
        <v>190</v>
      </c>
    </row>
    <row r="108" spans="1:6" x14ac:dyDescent="0.35">
      <c r="D108" t="s">
        <v>274</v>
      </c>
      <c r="E108" t="s">
        <v>272</v>
      </c>
      <c r="F108" t="s">
        <v>273</v>
      </c>
    </row>
    <row r="109" spans="1:6" x14ac:dyDescent="0.35">
      <c r="D109">
        <v>0.41109082582231493</v>
      </c>
      <c r="E109">
        <v>0</v>
      </c>
      <c r="F109">
        <v>0.72399999999999998</v>
      </c>
    </row>
    <row r="115" spans="1:6" ht="26" x14ac:dyDescent="0.6">
      <c r="A115" s="7" t="s">
        <v>242</v>
      </c>
      <c r="B115" s="7" t="s">
        <v>242</v>
      </c>
      <c r="C115" s="8" t="s">
        <v>9</v>
      </c>
    </row>
    <row r="116" spans="1:6" x14ac:dyDescent="0.35">
      <c r="C116" s="4"/>
      <c r="D116" s="4" t="s">
        <v>191</v>
      </c>
    </row>
    <row r="118" spans="1:6" x14ac:dyDescent="0.35">
      <c r="D118" t="s">
        <v>275</v>
      </c>
      <c r="E118" t="s">
        <v>276</v>
      </c>
      <c r="F118" t="s">
        <v>277</v>
      </c>
    </row>
    <row r="119" spans="1:6" x14ac:dyDescent="0.35">
      <c r="D119">
        <v>0.12543561357358721</v>
      </c>
      <c r="E119">
        <v>0</v>
      </c>
      <c r="F119">
        <v>0.55191000000000001</v>
      </c>
    </row>
    <row r="125" spans="1:6" ht="26" x14ac:dyDescent="0.6">
      <c r="A125" s="7" t="s">
        <v>242</v>
      </c>
      <c r="B125" s="7" t="s">
        <v>242</v>
      </c>
      <c r="C125" s="8" t="s">
        <v>10</v>
      </c>
    </row>
    <row r="126" spans="1:6" x14ac:dyDescent="0.35">
      <c r="D126" s="4" t="s">
        <v>192</v>
      </c>
    </row>
    <row r="128" spans="1:6" x14ac:dyDescent="0.35">
      <c r="D128" t="s">
        <v>280</v>
      </c>
      <c r="E128" t="s">
        <v>278</v>
      </c>
      <c r="F128" t="s">
        <v>279</v>
      </c>
    </row>
    <row r="129" spans="3:6" x14ac:dyDescent="0.35">
      <c r="D129">
        <v>0.2185758415608299</v>
      </c>
      <c r="E129">
        <v>0</v>
      </c>
      <c r="F129">
        <v>0.83807516098022505</v>
      </c>
    </row>
    <row r="139" spans="3:6" x14ac:dyDescent="0.35">
      <c r="C139" s="4"/>
    </row>
    <row r="150" spans="1:32" ht="26" x14ac:dyDescent="0.6">
      <c r="A150" s="7" t="s">
        <v>242</v>
      </c>
      <c r="B150" s="7" t="s">
        <v>242</v>
      </c>
      <c r="C150" s="8" t="s">
        <v>299</v>
      </c>
    </row>
    <row r="152" spans="1:32" x14ac:dyDescent="0.35">
      <c r="D152" s="10" t="s">
        <v>0</v>
      </c>
      <c r="E152" t="s">
        <v>310</v>
      </c>
      <c r="F152" t="s">
        <v>301</v>
      </c>
      <c r="G152" t="s">
        <v>302</v>
      </c>
      <c r="H152" t="s">
        <v>303</v>
      </c>
      <c r="I152" t="s">
        <v>255</v>
      </c>
      <c r="J152" t="s">
        <v>259</v>
      </c>
      <c r="K152" t="s">
        <v>304</v>
      </c>
      <c r="L152" t="s">
        <v>305</v>
      </c>
      <c r="M152" t="s">
        <v>306</v>
      </c>
      <c r="N152" t="s">
        <v>307</v>
      </c>
      <c r="O152" t="s">
        <v>308</v>
      </c>
      <c r="P152" t="s">
        <v>275</v>
      </c>
      <c r="Q152" t="s">
        <v>309</v>
      </c>
      <c r="S152" t="s">
        <v>0</v>
      </c>
      <c r="T152" t="s">
        <v>310</v>
      </c>
      <c r="U152" t="s">
        <v>301</v>
      </c>
      <c r="V152" t="s">
        <v>302</v>
      </c>
      <c r="W152" t="s">
        <v>303</v>
      </c>
      <c r="X152" t="s">
        <v>255</v>
      </c>
      <c r="Y152" t="s">
        <v>259</v>
      </c>
      <c r="Z152" t="s">
        <v>304</v>
      </c>
      <c r="AA152" t="s">
        <v>305</v>
      </c>
      <c r="AB152" t="s">
        <v>306</v>
      </c>
      <c r="AC152" t="s">
        <v>307</v>
      </c>
      <c r="AD152" t="s">
        <v>308</v>
      </c>
      <c r="AE152" t="s">
        <v>275</v>
      </c>
      <c r="AF152" t="s">
        <v>309</v>
      </c>
    </row>
    <row r="153" spans="1:32" x14ac:dyDescent="0.35">
      <c r="D153" s="11" t="s">
        <v>174</v>
      </c>
      <c r="E153">
        <v>5</v>
      </c>
      <c r="F153">
        <v>149.4</v>
      </c>
      <c r="G153">
        <v>3.5127999820709221</v>
      </c>
      <c r="H153">
        <v>3.0839999999999999E-2</v>
      </c>
      <c r="I153">
        <v>3.2879999999999998</v>
      </c>
      <c r="J153">
        <v>3.7143384054303201</v>
      </c>
      <c r="K153">
        <v>0.35711344353485097</v>
      </c>
      <c r="L153">
        <v>0.33158777545928969</v>
      </c>
      <c r="M153">
        <v>0.52700000000000002</v>
      </c>
      <c r="N153">
        <v>0.25470735576915737</v>
      </c>
      <c r="O153">
        <v>0.117923904097557</v>
      </c>
      <c r="P153">
        <v>5.8093566011905684E-2</v>
      </c>
      <c r="Q153">
        <v>0.26773018651580821</v>
      </c>
      <c r="S153" t="s">
        <v>174</v>
      </c>
      <c r="T153">
        <v>5</v>
      </c>
      <c r="U153">
        <v>149.4</v>
      </c>
      <c r="V153">
        <v>3.5127999820709221</v>
      </c>
      <c r="W153">
        <v>3.0839999999999999E-2</v>
      </c>
      <c r="X153">
        <v>3.2879999999999998</v>
      </c>
      <c r="Y153">
        <v>3.7143384054303201</v>
      </c>
      <c r="Z153">
        <v>0.35711344353485097</v>
      </c>
      <c r="AA153">
        <v>0.33158777545928969</v>
      </c>
      <c r="AB153">
        <v>0.52700000000000002</v>
      </c>
      <c r="AC153">
        <v>0.25470735576915737</v>
      </c>
      <c r="AD153">
        <v>0.117923904097557</v>
      </c>
      <c r="AE153">
        <v>5.8093566011905684E-2</v>
      </c>
      <c r="AF153">
        <v>0.26773018651580821</v>
      </c>
    </row>
    <row r="154" spans="1:32" x14ac:dyDescent="0.35">
      <c r="D154" s="11" t="s">
        <v>116</v>
      </c>
      <c r="E154">
        <v>5</v>
      </c>
      <c r="F154">
        <v>106.4</v>
      </c>
      <c r="G154">
        <v>4.7126000106811521</v>
      </c>
      <c r="H154">
        <v>5.0130000000000001E-2</v>
      </c>
      <c r="I154">
        <v>4.5460000000000003</v>
      </c>
      <c r="J154">
        <v>4.7640000000000002</v>
      </c>
      <c r="K154">
        <v>0.93863255066299423</v>
      </c>
      <c r="L154">
        <v>0.70321841596603407</v>
      </c>
      <c r="M154">
        <v>0.83250000000000002</v>
      </c>
      <c r="N154">
        <v>0.78769594932937625</v>
      </c>
      <c r="O154">
        <v>0.37189772696304318</v>
      </c>
      <c r="P154">
        <v>4.3200843199968343E-2</v>
      </c>
      <c r="Q154">
        <v>0.16788658885860439</v>
      </c>
      <c r="S154" t="s">
        <v>116</v>
      </c>
      <c r="T154">
        <v>5</v>
      </c>
      <c r="U154">
        <v>106.4</v>
      </c>
      <c r="V154">
        <v>4.7126000106811521</v>
      </c>
      <c r="W154">
        <v>5.0130000000000001E-2</v>
      </c>
      <c r="X154">
        <v>4.5460000000000003</v>
      </c>
      <c r="Y154">
        <v>4.7640000000000002</v>
      </c>
      <c r="Z154">
        <v>0.93863255066299423</v>
      </c>
      <c r="AA154">
        <v>0.70321841596603407</v>
      </c>
      <c r="AB154">
        <v>0.83250000000000002</v>
      </c>
      <c r="AC154">
        <v>0.78769594932937625</v>
      </c>
      <c r="AD154">
        <v>0.37189772696304318</v>
      </c>
      <c r="AE154">
        <v>4.3200843199968343E-2</v>
      </c>
      <c r="AF154">
        <v>0.16788658885860439</v>
      </c>
    </row>
    <row r="155" spans="1:32" x14ac:dyDescent="0.35">
      <c r="D155" s="11" t="s">
        <v>87</v>
      </c>
      <c r="E155">
        <v>5</v>
      </c>
      <c r="F155">
        <v>66.2</v>
      </c>
      <c r="G155">
        <v>5.667600043487548</v>
      </c>
      <c r="H155">
        <v>5.0990000000000001E-2</v>
      </c>
      <c r="I155">
        <v>5.9782864336669403</v>
      </c>
      <c r="J155">
        <v>6.4829999999999997</v>
      </c>
      <c r="K155">
        <v>1.012962893333436</v>
      </c>
      <c r="L155">
        <v>1.0190091551335667</v>
      </c>
      <c r="M155">
        <v>1.157</v>
      </c>
      <c r="N155">
        <v>0.66505692914962766</v>
      </c>
      <c r="O155">
        <v>0.17843716158390038</v>
      </c>
      <c r="P155">
        <v>0.14609922206878662</v>
      </c>
      <c r="Q155">
        <v>6.9219329399585722E-2</v>
      </c>
      <c r="S155" t="s">
        <v>87</v>
      </c>
      <c r="T155">
        <v>5</v>
      </c>
      <c r="U155">
        <v>66.2</v>
      </c>
      <c r="V155">
        <v>5.667600043487548</v>
      </c>
      <c r="W155">
        <v>5.0990000000000001E-2</v>
      </c>
      <c r="X155">
        <v>5.9782864336669403</v>
      </c>
      <c r="Y155">
        <v>6.4829999999999997</v>
      </c>
      <c r="Z155">
        <v>1.012962893333436</v>
      </c>
      <c r="AA155">
        <v>1.0190091551335667</v>
      </c>
      <c r="AB155">
        <v>1.157</v>
      </c>
      <c r="AC155">
        <v>0.66505692914962766</v>
      </c>
      <c r="AD155">
        <v>0.17843716158390038</v>
      </c>
      <c r="AE155">
        <v>0.14609922206878662</v>
      </c>
      <c r="AF155">
        <v>6.9219329399585722E-2</v>
      </c>
    </row>
    <row r="156" spans="1:32" x14ac:dyDescent="0.35">
      <c r="D156" s="11" t="s">
        <v>158</v>
      </c>
      <c r="E156">
        <v>4</v>
      </c>
      <c r="F156">
        <v>140</v>
      </c>
      <c r="G156">
        <v>3.8722500190734879</v>
      </c>
      <c r="H156">
        <v>4.7579999999999997E-2</v>
      </c>
      <c r="I156">
        <v>3.7530000000000001</v>
      </c>
      <c r="J156">
        <v>3.9790000000000001</v>
      </c>
      <c r="K156">
        <v>0.79837954505443576</v>
      </c>
      <c r="L156">
        <v>0.87615731988271006</v>
      </c>
      <c r="M156">
        <v>1.125</v>
      </c>
      <c r="N156">
        <v>0.13390216640889646</v>
      </c>
      <c r="O156">
        <v>2.7432500000000002E-2</v>
      </c>
      <c r="P156">
        <v>7.157008382618428E-2</v>
      </c>
      <c r="Q156">
        <v>0.10526912250220775</v>
      </c>
      <c r="S156" t="s">
        <v>158</v>
      </c>
      <c r="T156">
        <v>4</v>
      </c>
      <c r="U156">
        <v>140</v>
      </c>
      <c r="V156">
        <v>3.8722500190734879</v>
      </c>
      <c r="W156">
        <v>4.7579999999999997E-2</v>
      </c>
      <c r="X156">
        <v>3.7530000000000001</v>
      </c>
      <c r="Y156">
        <v>3.9790000000000001</v>
      </c>
      <c r="Z156">
        <v>0.79837954505443576</v>
      </c>
      <c r="AA156">
        <v>0.87615731988271006</v>
      </c>
      <c r="AB156">
        <v>1.125</v>
      </c>
      <c r="AC156">
        <v>0.13390216640889646</v>
      </c>
      <c r="AD156">
        <v>2.7432500000000002E-2</v>
      </c>
      <c r="AE156">
        <v>7.157008382618428E-2</v>
      </c>
      <c r="AF156">
        <v>0.10526912250220775</v>
      </c>
    </row>
    <row r="157" spans="1:32" x14ac:dyDescent="0.35">
      <c r="D157" s="11" t="s">
        <v>47</v>
      </c>
      <c r="E157">
        <v>5</v>
      </c>
      <c r="F157">
        <v>31.2</v>
      </c>
      <c r="G157">
        <v>6.4593999954223635</v>
      </c>
      <c r="H157">
        <v>4.6120000000000001E-2</v>
      </c>
      <c r="I157">
        <v>6.56</v>
      </c>
      <c r="J157">
        <v>6.74</v>
      </c>
      <c r="K157">
        <v>1.1110350925216683</v>
      </c>
      <c r="L157">
        <v>1.25160038172404</v>
      </c>
      <c r="M157">
        <v>1.45</v>
      </c>
      <c r="N157">
        <v>0.76089541670608529</v>
      </c>
      <c r="O157">
        <v>0.48161984078025821</v>
      </c>
      <c r="P157">
        <v>6.430797754287719E-2</v>
      </c>
      <c r="Q157">
        <v>9.2371412138938999E-2</v>
      </c>
      <c r="S157" t="s">
        <v>47</v>
      </c>
      <c r="T157">
        <v>5</v>
      </c>
      <c r="U157">
        <v>31.2</v>
      </c>
      <c r="V157">
        <v>6.4593999954223635</v>
      </c>
      <c r="W157">
        <v>4.6120000000000001E-2</v>
      </c>
      <c r="X157">
        <v>6.56</v>
      </c>
      <c r="Y157">
        <v>6.74</v>
      </c>
      <c r="Z157">
        <v>1.1110350925216683</v>
      </c>
      <c r="AA157">
        <v>1.25160038172404</v>
      </c>
      <c r="AB157">
        <v>1.45</v>
      </c>
      <c r="AC157">
        <v>0.76089541670608529</v>
      </c>
      <c r="AD157">
        <v>0.48161984078025821</v>
      </c>
      <c r="AE157">
        <v>6.430797754287719E-2</v>
      </c>
      <c r="AF157">
        <v>9.2371412138938999E-2</v>
      </c>
    </row>
    <row r="158" spans="1:32" x14ac:dyDescent="0.35">
      <c r="D158" s="11" t="s">
        <v>148</v>
      </c>
      <c r="E158">
        <v>5</v>
      </c>
      <c r="F158">
        <v>122.8</v>
      </c>
      <c r="G158">
        <v>4.3931999855041504</v>
      </c>
      <c r="H158">
        <v>4.7629999999999999E-2</v>
      </c>
      <c r="I158">
        <v>4.266</v>
      </c>
      <c r="J158">
        <v>4.4539999999999997</v>
      </c>
      <c r="K158">
        <v>0.83913334757232649</v>
      </c>
      <c r="L158">
        <v>0.80312124025980669</v>
      </c>
      <c r="M158">
        <v>1.0225</v>
      </c>
      <c r="N158">
        <v>0.69785088519668581</v>
      </c>
      <c r="O158">
        <v>0.2160286534719468</v>
      </c>
      <c r="P158">
        <v>3.8766884300827982E-2</v>
      </c>
      <c r="Q158">
        <v>8.2393618365287774E-2</v>
      </c>
      <c r="S158" t="s">
        <v>148</v>
      </c>
      <c r="T158">
        <v>5</v>
      </c>
      <c r="U158">
        <v>122.8</v>
      </c>
      <c r="V158">
        <v>4.3931999855041504</v>
      </c>
      <c r="W158">
        <v>4.7629999999999999E-2</v>
      </c>
      <c r="X158">
        <v>4.266</v>
      </c>
      <c r="Y158">
        <v>4.4539999999999997</v>
      </c>
      <c r="Z158">
        <v>0.83913334757232649</v>
      </c>
      <c r="AA158">
        <v>0.80312124025980669</v>
      </c>
      <c r="AB158">
        <v>1.0225</v>
      </c>
      <c r="AC158">
        <v>0.69785088519668581</v>
      </c>
      <c r="AD158">
        <v>0.2160286534719468</v>
      </c>
      <c r="AE158">
        <v>3.8766884300827982E-2</v>
      </c>
      <c r="AF158">
        <v>8.2393618365287774E-2</v>
      </c>
    </row>
    <row r="159" spans="1:32" x14ac:dyDescent="0.35">
      <c r="D159" s="11" t="s">
        <v>24</v>
      </c>
      <c r="E159">
        <v>5</v>
      </c>
      <c r="F159">
        <v>10</v>
      </c>
      <c r="G159">
        <v>7.2761999839782714</v>
      </c>
      <c r="H159">
        <v>4.0829999999999998E-2</v>
      </c>
      <c r="I159">
        <v>7.2409999999999997</v>
      </c>
      <c r="J159">
        <v>7.3849999999999998</v>
      </c>
      <c r="K159">
        <v>1.3948849870223998</v>
      </c>
      <c r="L159">
        <v>1.30801065071106</v>
      </c>
      <c r="M159">
        <v>1.5605</v>
      </c>
      <c r="N159">
        <v>0.91452935853195216</v>
      </c>
      <c r="O159">
        <v>0.60504347645950329</v>
      </c>
      <c r="P159">
        <v>0.31457274607276925</v>
      </c>
      <c r="Q159">
        <v>0.41607784999656677</v>
      </c>
      <c r="S159" t="s">
        <v>24</v>
      </c>
      <c r="T159">
        <v>5</v>
      </c>
      <c r="U159">
        <v>10</v>
      </c>
      <c r="V159">
        <v>7.2761999839782714</v>
      </c>
      <c r="W159">
        <v>4.0829999999999998E-2</v>
      </c>
      <c r="X159">
        <v>7.2409999999999997</v>
      </c>
      <c r="Y159">
        <v>7.3849999999999998</v>
      </c>
      <c r="Z159">
        <v>1.3948849870223998</v>
      </c>
      <c r="AA159">
        <v>1.30801065071106</v>
      </c>
      <c r="AB159">
        <v>1.5605</v>
      </c>
      <c r="AC159">
        <v>0.91452935853195216</v>
      </c>
      <c r="AD159">
        <v>0.60504347645950329</v>
      </c>
      <c r="AE159">
        <v>0.31457274607276925</v>
      </c>
      <c r="AF159">
        <v>0.41607784999656677</v>
      </c>
    </row>
    <row r="160" spans="1:32" x14ac:dyDescent="0.35">
      <c r="D160" s="11" t="s">
        <v>29</v>
      </c>
      <c r="E160">
        <v>5</v>
      </c>
      <c r="F160">
        <v>12</v>
      </c>
      <c r="G160">
        <v>7.1420000083923343</v>
      </c>
      <c r="H160">
        <v>3.7510000000000002E-2</v>
      </c>
      <c r="I160">
        <v>7.0449999999999999</v>
      </c>
      <c r="J160">
        <v>7.1929999999999996</v>
      </c>
      <c r="K160">
        <v>1.398341452667236</v>
      </c>
      <c r="L160">
        <v>1.2802716544850667</v>
      </c>
      <c r="M160">
        <v>1.4895</v>
      </c>
      <c r="N160">
        <v>0.88367968384170548</v>
      </c>
      <c r="O160">
        <v>0.57692923791503903</v>
      </c>
      <c r="P160">
        <v>0.21426007308769218</v>
      </c>
      <c r="Q160">
        <v>0.29240046434974676</v>
      </c>
      <c r="S160" t="s">
        <v>29</v>
      </c>
      <c r="T160">
        <v>5</v>
      </c>
      <c r="U160">
        <v>12</v>
      </c>
      <c r="V160">
        <v>7.1420000083923343</v>
      </c>
      <c r="W160">
        <v>3.7510000000000002E-2</v>
      </c>
      <c r="X160">
        <v>7.0449999999999999</v>
      </c>
      <c r="Y160">
        <v>7.1929999999999996</v>
      </c>
      <c r="Z160">
        <v>1.398341452667236</v>
      </c>
      <c r="AA160">
        <v>1.2802716544850667</v>
      </c>
      <c r="AB160">
        <v>1.4895</v>
      </c>
      <c r="AC160">
        <v>0.88367968384170548</v>
      </c>
      <c r="AD160">
        <v>0.57692923791503903</v>
      </c>
      <c r="AE160">
        <v>0.21426007308769218</v>
      </c>
      <c r="AF160">
        <v>0.29240046434974676</v>
      </c>
    </row>
    <row r="161" spans="4:32" x14ac:dyDescent="0.35">
      <c r="D161" s="11" t="s">
        <v>101</v>
      </c>
      <c r="E161">
        <v>5</v>
      </c>
      <c r="F161">
        <v>84.6</v>
      </c>
      <c r="G161">
        <v>5.2292000411987303</v>
      </c>
      <c r="H161">
        <v>3.363E-2</v>
      </c>
      <c r="I161">
        <v>5.226</v>
      </c>
      <c r="J161">
        <v>5.3559999999999999</v>
      </c>
      <c r="K161">
        <v>1.0736443531265261</v>
      </c>
      <c r="L161">
        <v>0.95025008506775011</v>
      </c>
      <c r="M161">
        <v>1.1539999999999999</v>
      </c>
      <c r="N161">
        <v>0.61965315518188491</v>
      </c>
      <c r="O161">
        <v>0.38054516765022278</v>
      </c>
      <c r="P161">
        <v>0.17575550142097476</v>
      </c>
      <c r="Q161">
        <v>4.9131868055343621E-2</v>
      </c>
      <c r="S161" t="s">
        <v>101</v>
      </c>
      <c r="T161">
        <v>5</v>
      </c>
      <c r="U161">
        <v>84.6</v>
      </c>
      <c r="V161">
        <v>5.2292000411987303</v>
      </c>
      <c r="W161">
        <v>3.363E-2</v>
      </c>
      <c r="X161">
        <v>5.226</v>
      </c>
      <c r="Y161">
        <v>5.3559999999999999</v>
      </c>
      <c r="Z161">
        <v>1.0736443531265261</v>
      </c>
      <c r="AA161">
        <v>0.95025008506775011</v>
      </c>
      <c r="AB161">
        <v>1.1539999999999999</v>
      </c>
      <c r="AC161">
        <v>0.61965315518188491</v>
      </c>
      <c r="AD161">
        <v>0.38054516765022278</v>
      </c>
      <c r="AE161">
        <v>0.17575550142097476</v>
      </c>
      <c r="AF161">
        <v>4.9131868055343621E-2</v>
      </c>
    </row>
    <row r="162" spans="4:32" x14ac:dyDescent="0.35">
      <c r="D162" s="11" t="s">
        <v>68</v>
      </c>
      <c r="E162">
        <v>5</v>
      </c>
      <c r="F162">
        <v>42.4</v>
      </c>
      <c r="G162">
        <v>6.1137999786376964</v>
      </c>
      <c r="H162">
        <v>5.4120000000000001E-2</v>
      </c>
      <c r="I162">
        <v>6.1280000000000001</v>
      </c>
      <c r="J162">
        <v>6.3079999999999998</v>
      </c>
      <c r="K162">
        <v>1.390482452201844</v>
      </c>
      <c r="L162">
        <v>1.1611068204116834</v>
      </c>
      <c r="M162">
        <v>1.367</v>
      </c>
      <c r="N162">
        <v>0.72525060694122323</v>
      </c>
      <c r="O162">
        <v>0.51908338383102426</v>
      </c>
      <c r="P162">
        <v>0.21075243391418463</v>
      </c>
      <c r="Q162">
        <v>0.2031516973667144</v>
      </c>
      <c r="S162" t="s">
        <v>68</v>
      </c>
      <c r="T162">
        <v>5</v>
      </c>
      <c r="U162">
        <v>42.4</v>
      </c>
      <c r="V162">
        <v>6.1137999786376964</v>
      </c>
      <c r="W162">
        <v>5.4120000000000001E-2</v>
      </c>
      <c r="X162">
        <v>6.1280000000000001</v>
      </c>
      <c r="Y162">
        <v>6.3079999999999998</v>
      </c>
      <c r="Z162">
        <v>1.390482452201844</v>
      </c>
      <c r="AA162">
        <v>1.1611068204116834</v>
      </c>
      <c r="AB162">
        <v>1.367</v>
      </c>
      <c r="AC162">
        <v>0.72525060694122323</v>
      </c>
      <c r="AD162">
        <v>0.51908338383102426</v>
      </c>
      <c r="AE162">
        <v>0.21075243391418463</v>
      </c>
      <c r="AF162">
        <v>0.2031516973667144</v>
      </c>
    </row>
    <row r="163" spans="4:32" x14ac:dyDescent="0.35">
      <c r="D163" s="11" t="s">
        <v>130</v>
      </c>
      <c r="E163">
        <v>5</v>
      </c>
      <c r="F163">
        <v>113.8</v>
      </c>
      <c r="G163">
        <v>4.5801999603271479</v>
      </c>
      <c r="H163">
        <v>3.0769999999999999E-2</v>
      </c>
      <c r="I163">
        <v>4.5599999999999996</v>
      </c>
      <c r="J163">
        <v>4.726</v>
      </c>
      <c r="K163">
        <v>0.52399659505844132</v>
      </c>
      <c r="L163">
        <v>0.47122724685668932</v>
      </c>
      <c r="M163">
        <v>0.88900000000000001</v>
      </c>
      <c r="N163">
        <v>0.59335420671081529</v>
      </c>
      <c r="O163">
        <v>0.47826733188247683</v>
      </c>
      <c r="P163">
        <v>0.1324475718774796</v>
      </c>
      <c r="Q163">
        <v>0.17895907042789461</v>
      </c>
      <c r="S163" t="s">
        <v>130</v>
      </c>
      <c r="T163">
        <v>5</v>
      </c>
      <c r="U163">
        <v>113.8</v>
      </c>
      <c r="V163">
        <v>4.5801999603271479</v>
      </c>
      <c r="W163">
        <v>3.0769999999999999E-2</v>
      </c>
      <c r="X163">
        <v>4.5599999999999996</v>
      </c>
      <c r="Y163">
        <v>4.726</v>
      </c>
      <c r="Z163">
        <v>0.52399659505844132</v>
      </c>
      <c r="AA163">
        <v>0.47122724685668932</v>
      </c>
      <c r="AB163">
        <v>0.88900000000000001</v>
      </c>
      <c r="AC163">
        <v>0.59335420671081529</v>
      </c>
      <c r="AD163">
        <v>0.47826733188247683</v>
      </c>
      <c r="AE163">
        <v>0.1324475718774796</v>
      </c>
      <c r="AF163">
        <v>0.17895907042789461</v>
      </c>
    </row>
    <row r="164" spans="4:32" x14ac:dyDescent="0.35">
      <c r="D164" s="11" t="s">
        <v>78</v>
      </c>
      <c r="E164">
        <v>5</v>
      </c>
      <c r="F164">
        <v>68.2</v>
      </c>
      <c r="G164">
        <v>5.5979999534606941</v>
      </c>
      <c r="H164">
        <v>3.9379999999999998E-2</v>
      </c>
      <c r="I164">
        <v>5.6461142440140204</v>
      </c>
      <c r="J164">
        <v>5.8810000000000002</v>
      </c>
      <c r="K164">
        <v>1.0850195119934081</v>
      </c>
      <c r="L164">
        <v>1.2425884053929634</v>
      </c>
      <c r="M164">
        <v>1.4815</v>
      </c>
      <c r="N164">
        <v>0.69876685335540778</v>
      </c>
      <c r="O164">
        <v>0.30153805237579345</v>
      </c>
      <c r="P164">
        <v>0.16355676433467861</v>
      </c>
      <c r="Q164">
        <v>0.120003501821518</v>
      </c>
      <c r="S164" t="s">
        <v>78</v>
      </c>
      <c r="T164">
        <v>5</v>
      </c>
      <c r="U164">
        <v>68.2</v>
      </c>
      <c r="V164">
        <v>5.5979999534606941</v>
      </c>
      <c r="W164">
        <v>3.9379999999999998E-2</v>
      </c>
      <c r="X164">
        <v>5.6461142440140204</v>
      </c>
      <c r="Y164">
        <v>5.8810000000000002</v>
      </c>
      <c r="Z164">
        <v>1.0850195119934081</v>
      </c>
      <c r="AA164">
        <v>1.2425884053929634</v>
      </c>
      <c r="AB164">
        <v>1.4815</v>
      </c>
      <c r="AC164">
        <v>0.69876685335540778</v>
      </c>
      <c r="AD164">
        <v>0.30153805237579345</v>
      </c>
      <c r="AE164">
        <v>0.16355676433467861</v>
      </c>
      <c r="AF164">
        <v>0.120003501821518</v>
      </c>
    </row>
    <row r="165" spans="4:32" x14ac:dyDescent="0.35">
      <c r="D165" s="11" t="s">
        <v>35</v>
      </c>
      <c r="E165">
        <v>5</v>
      </c>
      <c r="F165">
        <v>17.600000000000001</v>
      </c>
      <c r="G165">
        <v>6.9213999588012696</v>
      </c>
      <c r="H165">
        <v>3.5950000000000003E-2</v>
      </c>
      <c r="I165">
        <v>6.8609999999999998</v>
      </c>
      <c r="J165">
        <v>6.9969999999999999</v>
      </c>
      <c r="K165">
        <v>1.3753981521530159</v>
      </c>
      <c r="L165">
        <v>1.2668208994547532</v>
      </c>
      <c r="M165">
        <v>1.4935</v>
      </c>
      <c r="N165">
        <v>0.88287037387084966</v>
      </c>
      <c r="O165">
        <v>0.53876214447784421</v>
      </c>
      <c r="P165">
        <v>0.23784462621307378</v>
      </c>
      <c r="Q165">
        <v>0.20888066752433776</v>
      </c>
      <c r="S165" t="s">
        <v>35</v>
      </c>
      <c r="T165">
        <v>5</v>
      </c>
      <c r="U165">
        <v>17.600000000000001</v>
      </c>
      <c r="V165">
        <v>6.9213999588012696</v>
      </c>
      <c r="W165">
        <v>3.5950000000000003E-2</v>
      </c>
      <c r="X165">
        <v>6.8609999999999998</v>
      </c>
      <c r="Y165">
        <v>6.9969999999999999</v>
      </c>
      <c r="Z165">
        <v>1.3753981521530159</v>
      </c>
      <c r="AA165">
        <v>1.2668208994547532</v>
      </c>
      <c r="AB165">
        <v>1.4935</v>
      </c>
      <c r="AC165">
        <v>0.88287037387084966</v>
      </c>
      <c r="AD165">
        <v>0.53876214447784421</v>
      </c>
      <c r="AE165">
        <v>0.23784462621307378</v>
      </c>
      <c r="AF165">
        <v>0.20888066752433776</v>
      </c>
    </row>
    <row r="166" spans="4:32" x14ac:dyDescent="0.35">
      <c r="D166" s="11" t="s">
        <v>208</v>
      </c>
      <c r="E166">
        <v>3</v>
      </c>
      <c r="F166">
        <v>50.333333333333336</v>
      </c>
      <c r="G166">
        <v>5.9559999504089367</v>
      </c>
      <c r="I166">
        <v>5.71</v>
      </c>
      <c r="J166">
        <v>6.202</v>
      </c>
      <c r="K166">
        <v>0.86371177201588933</v>
      </c>
      <c r="L166">
        <v>0.88398389949798495</v>
      </c>
      <c r="M166">
        <v>1.101</v>
      </c>
      <c r="N166">
        <v>0.45996058867454531</v>
      </c>
      <c r="O166">
        <v>0.55093979074478139</v>
      </c>
      <c r="P166">
        <v>9.7763690538406348E-2</v>
      </c>
      <c r="Q166">
        <v>0.21995188028494531</v>
      </c>
      <c r="S166" t="s">
        <v>208</v>
      </c>
      <c r="T166">
        <v>3</v>
      </c>
      <c r="U166">
        <v>50.333333333333336</v>
      </c>
      <c r="V166">
        <v>5.9559999504089367</v>
      </c>
      <c r="X166">
        <v>5.71</v>
      </c>
      <c r="Y166">
        <v>6.202</v>
      </c>
      <c r="Z166">
        <v>0.86371177201588933</v>
      </c>
      <c r="AA166">
        <v>0.88398389949798495</v>
      </c>
      <c r="AB166">
        <v>1.101</v>
      </c>
      <c r="AC166">
        <v>0.45996058867454531</v>
      </c>
      <c r="AD166">
        <v>0.55093979074478139</v>
      </c>
      <c r="AE166">
        <v>9.7763690538406348E-2</v>
      </c>
      <c r="AF166">
        <v>0.21995188028494531</v>
      </c>
    </row>
    <row r="167" spans="4:32" x14ac:dyDescent="0.35">
      <c r="D167" s="11" t="s">
        <v>176</v>
      </c>
      <c r="E167">
        <v>5</v>
      </c>
      <c r="F167">
        <v>137.80000000000001</v>
      </c>
      <c r="G167">
        <v>3.9010000129699698</v>
      </c>
      <c r="H167">
        <v>3.6560000000000002E-2</v>
      </c>
      <c r="I167">
        <v>3.4039999999999999</v>
      </c>
      <c r="J167">
        <v>3.5682165783643698</v>
      </c>
      <c r="K167">
        <v>0.37674508154678343</v>
      </c>
      <c r="L167">
        <v>0.29778328118324265</v>
      </c>
      <c r="M167">
        <v>0.40449999999999997</v>
      </c>
      <c r="N167">
        <v>0.27526204226112361</v>
      </c>
      <c r="O167">
        <v>0.41938655518913259</v>
      </c>
      <c r="P167">
        <v>7.1367803055763235E-2</v>
      </c>
      <c r="Q167">
        <v>0.18606969223499301</v>
      </c>
      <c r="S167" t="s">
        <v>176</v>
      </c>
      <c r="T167">
        <v>5</v>
      </c>
      <c r="U167">
        <v>137.80000000000001</v>
      </c>
      <c r="V167">
        <v>3.9010000129699698</v>
      </c>
      <c r="W167">
        <v>3.6560000000000002E-2</v>
      </c>
      <c r="X167">
        <v>3.4039999999999999</v>
      </c>
      <c r="Y167">
        <v>3.5682165783643698</v>
      </c>
      <c r="Z167">
        <v>0.37674508154678343</v>
      </c>
      <c r="AA167">
        <v>0.29778328118324265</v>
      </c>
      <c r="AB167">
        <v>0.40449999999999997</v>
      </c>
      <c r="AC167">
        <v>0.27526204226112361</v>
      </c>
      <c r="AD167">
        <v>0.41938655518913259</v>
      </c>
      <c r="AE167">
        <v>7.1367803055763235E-2</v>
      </c>
      <c r="AF167">
        <v>0.18606969223499301</v>
      </c>
    </row>
    <row r="168" spans="4:32" x14ac:dyDescent="0.35">
      <c r="D168" s="11" t="s">
        <v>99</v>
      </c>
      <c r="E168">
        <v>5</v>
      </c>
      <c r="F168">
        <v>90.4</v>
      </c>
      <c r="G168">
        <v>5.1248000312805182</v>
      </c>
      <c r="H168">
        <v>3.2250000000000001E-2</v>
      </c>
      <c r="I168">
        <v>5.0793345621228196</v>
      </c>
      <c r="J168">
        <v>5.2539999999999996</v>
      </c>
      <c r="K168">
        <v>0.82350727770233156</v>
      </c>
      <c r="L168">
        <v>1.1174788381449365</v>
      </c>
      <c r="M168">
        <v>1.3279999999999998</v>
      </c>
      <c r="N168">
        <v>0.5397078584976196</v>
      </c>
      <c r="O168">
        <v>0.49846753612518313</v>
      </c>
      <c r="P168">
        <v>0.16548607796192161</v>
      </c>
      <c r="Q168">
        <v>0.43469890903282166</v>
      </c>
      <c r="S168" t="s">
        <v>99</v>
      </c>
      <c r="T168">
        <v>5</v>
      </c>
      <c r="U168">
        <v>90.4</v>
      </c>
      <c r="V168">
        <v>5.1248000312805182</v>
      </c>
      <c r="W168">
        <v>3.2250000000000001E-2</v>
      </c>
      <c r="X168">
        <v>5.0793345621228196</v>
      </c>
      <c r="Y168">
        <v>5.2539999999999996</v>
      </c>
      <c r="Z168">
        <v>0.82350727770233156</v>
      </c>
      <c r="AA168">
        <v>1.1174788381449365</v>
      </c>
      <c r="AB168">
        <v>1.3279999999999998</v>
      </c>
      <c r="AC168">
        <v>0.5397078584976196</v>
      </c>
      <c r="AD168">
        <v>0.49846753612518313</v>
      </c>
      <c r="AE168">
        <v>0.16548607796192161</v>
      </c>
      <c r="AF168">
        <v>0.43469890903282166</v>
      </c>
    </row>
    <row r="169" spans="4:32" x14ac:dyDescent="0.35">
      <c r="D169" s="11" t="s">
        <v>70</v>
      </c>
      <c r="E169">
        <v>5</v>
      </c>
      <c r="F169">
        <v>58.2</v>
      </c>
      <c r="G169">
        <v>5.8131999908447254</v>
      </c>
      <c r="H169">
        <v>5.6419999999999998E-2</v>
      </c>
      <c r="I169">
        <v>5.74</v>
      </c>
      <c r="J169">
        <v>5.9039999999999999</v>
      </c>
      <c r="K169">
        <v>0.76726131320953361</v>
      </c>
      <c r="L169">
        <v>1.0146063506444298</v>
      </c>
      <c r="M169">
        <v>1.2160000000000002</v>
      </c>
      <c r="N169">
        <v>0.53930604990005504</v>
      </c>
      <c r="O169">
        <v>0.55189658536911024</v>
      </c>
      <c r="P169">
        <v>6.878754523229598E-2</v>
      </c>
      <c r="Q169">
        <v>0.18518014494705198</v>
      </c>
      <c r="S169" t="s">
        <v>70</v>
      </c>
      <c r="T169">
        <v>5</v>
      </c>
      <c r="U169">
        <v>58.2</v>
      </c>
      <c r="V169">
        <v>5.8131999908447254</v>
      </c>
      <c r="W169">
        <v>5.6419999999999998E-2</v>
      </c>
      <c r="X169">
        <v>5.74</v>
      </c>
      <c r="Y169">
        <v>5.9039999999999999</v>
      </c>
      <c r="Z169">
        <v>0.76726131320953361</v>
      </c>
      <c r="AA169">
        <v>1.0146063506444298</v>
      </c>
      <c r="AB169">
        <v>1.2160000000000002</v>
      </c>
      <c r="AC169">
        <v>0.53930604990005504</v>
      </c>
      <c r="AD169">
        <v>0.55189658536911024</v>
      </c>
      <c r="AE169">
        <v>6.878754523229598E-2</v>
      </c>
      <c r="AF169">
        <v>0.18518014494705198</v>
      </c>
    </row>
    <row r="170" spans="4:32" x14ac:dyDescent="0.35">
      <c r="D170" s="11" t="s">
        <v>117</v>
      </c>
      <c r="E170">
        <v>5</v>
      </c>
      <c r="F170">
        <v>88.8</v>
      </c>
      <c r="G170">
        <v>5.1618000320434581</v>
      </c>
      <c r="H170">
        <v>6.9129999999999997E-2</v>
      </c>
      <c r="I170">
        <v>5.0629999999999997</v>
      </c>
      <c r="J170">
        <v>5.2629999999999999</v>
      </c>
      <c r="K170">
        <v>0.92169388352584836</v>
      </c>
      <c r="L170">
        <v>0.87738864583333331</v>
      </c>
      <c r="M170">
        <v>1.145</v>
      </c>
      <c r="N170">
        <v>0.76133126148605346</v>
      </c>
      <c r="O170">
        <v>0.17679263538074502</v>
      </c>
      <c r="P170">
        <v>1.6539999999999999E-3</v>
      </c>
      <c r="Q170">
        <v>0.27096749901199341</v>
      </c>
      <c r="S170" t="s">
        <v>117</v>
      </c>
      <c r="T170">
        <v>5</v>
      </c>
      <c r="U170">
        <v>88.8</v>
      </c>
      <c r="V170">
        <v>5.1618000320434581</v>
      </c>
      <c r="W170">
        <v>6.9129999999999997E-2</v>
      </c>
      <c r="X170">
        <v>5.0629999999999997</v>
      </c>
      <c r="Y170">
        <v>5.2629999999999999</v>
      </c>
      <c r="Z170">
        <v>0.92169388352584836</v>
      </c>
      <c r="AA170">
        <v>0.87738864583333331</v>
      </c>
      <c r="AB170">
        <v>1.145</v>
      </c>
      <c r="AC170">
        <v>0.76133126148605346</v>
      </c>
      <c r="AD170">
        <v>0.17679263538074502</v>
      </c>
      <c r="AE170">
        <v>1.6539999999999999E-3</v>
      </c>
      <c r="AF170">
        <v>0.27096749901199341</v>
      </c>
    </row>
    <row r="171" spans="4:32" x14ac:dyDescent="0.35">
      <c r="D171" s="11" t="s">
        <v>149</v>
      </c>
      <c r="E171">
        <v>5</v>
      </c>
      <c r="F171">
        <v>140.19999999999999</v>
      </c>
      <c r="G171">
        <v>3.830000006484986</v>
      </c>
      <c r="H171">
        <v>4.9340000000000002E-2</v>
      </c>
      <c r="I171">
        <v>3.8741226662695398</v>
      </c>
      <c r="J171">
        <v>4.0730000000000004</v>
      </c>
      <c r="K171">
        <v>1.0535808308715822</v>
      </c>
      <c r="L171">
        <v>1.0726849981943767</v>
      </c>
      <c r="M171">
        <v>1.1595</v>
      </c>
      <c r="N171">
        <v>0.33840710187530521</v>
      </c>
      <c r="O171">
        <v>0.49060726658630383</v>
      </c>
      <c r="P171">
        <v>0.10460263981676102</v>
      </c>
      <c r="Q171">
        <v>7.9041689643383012E-2</v>
      </c>
      <c r="S171" t="s">
        <v>149</v>
      </c>
      <c r="T171">
        <v>5</v>
      </c>
      <c r="U171">
        <v>140.19999999999999</v>
      </c>
      <c r="V171">
        <v>3.830000006484986</v>
      </c>
      <c r="W171">
        <v>4.9340000000000002E-2</v>
      </c>
      <c r="X171">
        <v>3.8741226662695398</v>
      </c>
      <c r="Y171">
        <v>4.0730000000000004</v>
      </c>
      <c r="Z171">
        <v>1.0535808308715822</v>
      </c>
      <c r="AA171">
        <v>1.0726849981943767</v>
      </c>
      <c r="AB171">
        <v>1.1595</v>
      </c>
      <c r="AC171">
        <v>0.33840710187530521</v>
      </c>
      <c r="AD171">
        <v>0.49060726658630383</v>
      </c>
      <c r="AE171">
        <v>0.10460263981676102</v>
      </c>
      <c r="AF171">
        <v>7.9041689643383012E-2</v>
      </c>
    </row>
    <row r="172" spans="4:32" x14ac:dyDescent="0.35">
      <c r="D172" s="11" t="s">
        <v>32</v>
      </c>
      <c r="E172">
        <v>5</v>
      </c>
      <c r="F172">
        <v>23</v>
      </c>
      <c r="G172">
        <v>6.6578000457763675</v>
      </c>
      <c r="H172">
        <v>4.0759999999999998E-2</v>
      </c>
      <c r="I172">
        <v>6.7254695016145698</v>
      </c>
      <c r="J172">
        <v>7.0289999999999999</v>
      </c>
      <c r="K172">
        <v>1.0332266420898439</v>
      </c>
      <c r="L172">
        <v>1.2345186681747433</v>
      </c>
      <c r="M172">
        <v>1.4565000000000001</v>
      </c>
      <c r="N172">
        <v>0.68094447058105456</v>
      </c>
      <c r="O172">
        <v>0.44303874935913079</v>
      </c>
      <c r="P172">
        <v>0.1203925522317886</v>
      </c>
      <c r="Q172">
        <v>0.13496997892856599</v>
      </c>
      <c r="S172" t="s">
        <v>32</v>
      </c>
      <c r="T172">
        <v>5</v>
      </c>
      <c r="U172">
        <v>23</v>
      </c>
      <c r="V172">
        <v>6.6578000457763675</v>
      </c>
      <c r="W172">
        <v>4.0759999999999998E-2</v>
      </c>
      <c r="X172">
        <v>6.7254695016145698</v>
      </c>
      <c r="Y172">
        <v>7.0289999999999999</v>
      </c>
      <c r="Z172">
        <v>1.0332266420898439</v>
      </c>
      <c r="AA172">
        <v>1.2345186681747433</v>
      </c>
      <c r="AB172">
        <v>1.4565000000000001</v>
      </c>
      <c r="AC172">
        <v>0.68094447058105456</v>
      </c>
      <c r="AD172">
        <v>0.44303874935913079</v>
      </c>
      <c r="AE172">
        <v>0.1203925522317886</v>
      </c>
      <c r="AF172">
        <v>0.13496997892856599</v>
      </c>
    </row>
    <row r="173" spans="4:32" x14ac:dyDescent="0.35">
      <c r="D173" s="11" t="s">
        <v>155</v>
      </c>
      <c r="E173">
        <v>5</v>
      </c>
      <c r="F173">
        <v>113</v>
      </c>
      <c r="G173">
        <v>4.6186000450134275</v>
      </c>
      <c r="H173">
        <v>4.8280000000000003E-2</v>
      </c>
      <c r="I173">
        <v>4.1040000000000001</v>
      </c>
      <c r="J173">
        <v>4.6243057437241104</v>
      </c>
      <c r="K173">
        <v>1.0865358176651001</v>
      </c>
      <c r="L173">
        <v>1.1553131528091434</v>
      </c>
      <c r="M173">
        <v>1.5139999999999998</v>
      </c>
      <c r="N173">
        <v>0.7359535360908509</v>
      </c>
      <c r="O173">
        <v>0.29545834351730338</v>
      </c>
      <c r="P173">
        <v>7.7843061899542793E-3</v>
      </c>
      <c r="Q173">
        <v>0.1010635388760566</v>
      </c>
      <c r="S173" t="s">
        <v>155</v>
      </c>
      <c r="T173">
        <v>5</v>
      </c>
      <c r="U173">
        <v>113</v>
      </c>
      <c r="V173">
        <v>4.6186000450134275</v>
      </c>
      <c r="W173">
        <v>4.8280000000000003E-2</v>
      </c>
      <c r="X173">
        <v>4.1040000000000001</v>
      </c>
      <c r="Y173">
        <v>4.6243057437241104</v>
      </c>
      <c r="Z173">
        <v>1.0865358176651001</v>
      </c>
      <c r="AA173">
        <v>1.1553131528091434</v>
      </c>
      <c r="AB173">
        <v>1.5139999999999998</v>
      </c>
      <c r="AC173">
        <v>0.7359535360908509</v>
      </c>
      <c r="AD173">
        <v>0.29545834351730338</v>
      </c>
      <c r="AE173">
        <v>7.7843061899542793E-3</v>
      </c>
      <c r="AF173">
        <v>0.1010635388760566</v>
      </c>
    </row>
    <row r="174" spans="4:32" x14ac:dyDescent="0.35">
      <c r="D174" s="11" t="s">
        <v>173</v>
      </c>
      <c r="E174">
        <v>5</v>
      </c>
      <c r="F174">
        <v>133.4</v>
      </c>
      <c r="G174">
        <v>4.0738000129699703</v>
      </c>
      <c r="H174">
        <v>4.3240000000000001E-2</v>
      </c>
      <c r="I174">
        <v>3.6469999999999998</v>
      </c>
      <c r="J174">
        <v>3.9399410653114302</v>
      </c>
      <c r="K174">
        <v>0.31465954271697999</v>
      </c>
      <c r="L174">
        <v>0.84190000181834002</v>
      </c>
      <c r="M174">
        <v>1.0765</v>
      </c>
      <c r="N174">
        <v>0.26681285173320779</v>
      </c>
      <c r="O174">
        <v>0.32399957020378123</v>
      </c>
      <c r="P174">
        <v>0.12299562119722358</v>
      </c>
      <c r="Q174">
        <v>0.21277293691635141</v>
      </c>
      <c r="S174" t="s">
        <v>173</v>
      </c>
      <c r="T174">
        <v>5</v>
      </c>
      <c r="U174">
        <v>133.4</v>
      </c>
      <c r="V174">
        <v>4.0738000129699703</v>
      </c>
      <c r="W174">
        <v>4.3240000000000001E-2</v>
      </c>
      <c r="X174">
        <v>3.6469999999999998</v>
      </c>
      <c r="Y174">
        <v>3.9399410653114302</v>
      </c>
      <c r="Z174">
        <v>0.31465954271697999</v>
      </c>
      <c r="AA174">
        <v>0.84190000181834002</v>
      </c>
      <c r="AB174">
        <v>1.0765</v>
      </c>
      <c r="AC174">
        <v>0.26681285173320779</v>
      </c>
      <c r="AD174">
        <v>0.32399957020378123</v>
      </c>
      <c r="AE174">
        <v>0.12299562119722358</v>
      </c>
      <c r="AF174">
        <v>0.21277293691635141</v>
      </c>
    </row>
    <row r="175" spans="4:32" x14ac:dyDescent="0.35">
      <c r="D175" s="11" t="s">
        <v>178</v>
      </c>
      <c r="E175">
        <v>5</v>
      </c>
      <c r="F175">
        <v>153.80000000000001</v>
      </c>
      <c r="G175">
        <v>3.0789999942779538</v>
      </c>
      <c r="H175">
        <v>8.6580000000000004E-2</v>
      </c>
      <c r="I175">
        <v>2.7320000000000002</v>
      </c>
      <c r="J175">
        <v>3.0779999999999998</v>
      </c>
      <c r="K175">
        <v>6.2446513733386999E-2</v>
      </c>
      <c r="L175">
        <v>0.42669452811559033</v>
      </c>
      <c r="M175">
        <v>0.53700000000000003</v>
      </c>
      <c r="N175">
        <v>0.21160815833663937</v>
      </c>
      <c r="O175">
        <v>0.10132015064001083</v>
      </c>
      <c r="P175">
        <v>0.10699158900928499</v>
      </c>
      <c r="Q175">
        <v>0.18592103691959377</v>
      </c>
      <c r="S175" t="s">
        <v>178</v>
      </c>
      <c r="T175">
        <v>5</v>
      </c>
      <c r="U175">
        <v>153.80000000000001</v>
      </c>
      <c r="V175">
        <v>3.0789999942779538</v>
      </c>
      <c r="W175">
        <v>8.6580000000000004E-2</v>
      </c>
      <c r="X175">
        <v>2.7320000000000002</v>
      </c>
      <c r="Y175">
        <v>3.0779999999999998</v>
      </c>
      <c r="Z175">
        <v>6.2446513733386999E-2</v>
      </c>
      <c r="AA175">
        <v>0.42669452811559033</v>
      </c>
      <c r="AB175">
        <v>0.53700000000000003</v>
      </c>
      <c r="AC175">
        <v>0.21160815833663937</v>
      </c>
      <c r="AD175">
        <v>0.10132015064001083</v>
      </c>
      <c r="AE175">
        <v>0.10699158900928499</v>
      </c>
      <c r="AF175">
        <v>0.18592103691959377</v>
      </c>
    </row>
    <row r="176" spans="4:32" x14ac:dyDescent="0.35">
      <c r="D176" s="11" t="s">
        <v>166</v>
      </c>
      <c r="E176">
        <v>5</v>
      </c>
      <c r="F176">
        <v>128.6</v>
      </c>
      <c r="G176">
        <v>4.2054000442504877</v>
      </c>
      <c r="H176">
        <v>5.0689999999999999E-2</v>
      </c>
      <c r="I176">
        <v>3.798</v>
      </c>
      <c r="J176">
        <v>4.0574826289713402</v>
      </c>
      <c r="K176">
        <v>0.54823701923751833</v>
      </c>
      <c r="L176">
        <v>0.72369944711049339</v>
      </c>
      <c r="M176">
        <v>1.105</v>
      </c>
      <c r="N176">
        <v>0.51197268077468883</v>
      </c>
      <c r="O176">
        <v>0.6378711646995544</v>
      </c>
      <c r="P176">
        <v>6.9699190190315244E-2</v>
      </c>
      <c r="Q176">
        <v>0.33618059367752079</v>
      </c>
      <c r="S176" t="s">
        <v>166</v>
      </c>
      <c r="T176">
        <v>5</v>
      </c>
      <c r="U176">
        <v>128.6</v>
      </c>
      <c r="V176">
        <v>4.2054000442504877</v>
      </c>
      <c r="W176">
        <v>5.0689999999999999E-2</v>
      </c>
      <c r="X176">
        <v>3.798</v>
      </c>
      <c r="Y176">
        <v>4.0574826289713402</v>
      </c>
      <c r="Z176">
        <v>0.54823701923751833</v>
      </c>
      <c r="AA176">
        <v>0.72369944711049339</v>
      </c>
      <c r="AB176">
        <v>1.105</v>
      </c>
      <c r="AC176">
        <v>0.51197268077468883</v>
      </c>
      <c r="AD176">
        <v>0.6378711646995544</v>
      </c>
      <c r="AE176">
        <v>6.9699190190315244E-2</v>
      </c>
      <c r="AF176">
        <v>0.33618059367752079</v>
      </c>
    </row>
    <row r="177" spans="4:32" x14ac:dyDescent="0.35">
      <c r="D177" s="11" t="s">
        <v>154</v>
      </c>
      <c r="E177">
        <v>5</v>
      </c>
      <c r="F177">
        <v>109.8</v>
      </c>
      <c r="G177">
        <v>4.6958000343322759</v>
      </c>
      <c r="H177">
        <v>4.6780000000000002E-2</v>
      </c>
      <c r="I177">
        <v>4.4169999999999998</v>
      </c>
      <c r="J177">
        <v>4.609</v>
      </c>
      <c r="K177">
        <v>0.51915507301712038</v>
      </c>
      <c r="L177">
        <v>0.81970273966471374</v>
      </c>
      <c r="M177">
        <v>0.90050000000000008</v>
      </c>
      <c r="N177">
        <v>0.20137842338085182</v>
      </c>
      <c r="O177">
        <v>0.43716774972915645</v>
      </c>
      <c r="P177">
        <v>5.0085326283216478E-2</v>
      </c>
      <c r="Q177">
        <v>0.20785569135761262</v>
      </c>
      <c r="S177" t="s">
        <v>154</v>
      </c>
      <c r="T177">
        <v>5</v>
      </c>
      <c r="U177">
        <v>109.8</v>
      </c>
      <c r="V177">
        <v>4.6958000343322759</v>
      </c>
      <c r="W177">
        <v>4.6780000000000002E-2</v>
      </c>
      <c r="X177">
        <v>4.4169999999999998</v>
      </c>
      <c r="Y177">
        <v>4.609</v>
      </c>
      <c r="Z177">
        <v>0.51915507301712038</v>
      </c>
      <c r="AA177">
        <v>0.81970273966471374</v>
      </c>
      <c r="AB177">
        <v>0.90050000000000008</v>
      </c>
      <c r="AC177">
        <v>0.20137842338085182</v>
      </c>
      <c r="AD177">
        <v>0.43716774972915645</v>
      </c>
      <c r="AE177">
        <v>5.0085326283216478E-2</v>
      </c>
      <c r="AF177">
        <v>0.20785569135761262</v>
      </c>
    </row>
    <row r="178" spans="4:32" x14ac:dyDescent="0.35">
      <c r="D178" s="11" t="s">
        <v>17</v>
      </c>
      <c r="E178">
        <v>5</v>
      </c>
      <c r="F178">
        <v>6.8</v>
      </c>
      <c r="G178">
        <v>7.3505999969482421</v>
      </c>
      <c r="H178">
        <v>3.5529999999999999E-2</v>
      </c>
      <c r="I178">
        <v>7.335</v>
      </c>
      <c r="J178">
        <v>7.4729999999999999</v>
      </c>
      <c r="K178">
        <v>1.3881288832550041</v>
      </c>
      <c r="L178">
        <v>1.3000196637980135</v>
      </c>
      <c r="M178">
        <v>1.5185</v>
      </c>
      <c r="N178">
        <v>0.90055753049469001</v>
      </c>
      <c r="O178">
        <v>0.61095418241882316</v>
      </c>
      <c r="P178">
        <v>0.3058463032455444</v>
      </c>
      <c r="Q178">
        <v>0.38959794448852536</v>
      </c>
      <c r="S178" t="s">
        <v>17</v>
      </c>
      <c r="T178">
        <v>5</v>
      </c>
      <c r="U178">
        <v>6.8</v>
      </c>
      <c r="V178">
        <v>7.3505999969482421</v>
      </c>
      <c r="W178">
        <v>3.5529999999999999E-2</v>
      </c>
      <c r="X178">
        <v>7.335</v>
      </c>
      <c r="Y178">
        <v>7.4729999999999999</v>
      </c>
      <c r="Z178">
        <v>1.3881288832550041</v>
      </c>
      <c r="AA178">
        <v>1.3000196637980135</v>
      </c>
      <c r="AB178">
        <v>1.5185</v>
      </c>
      <c r="AC178">
        <v>0.90055753049469001</v>
      </c>
      <c r="AD178">
        <v>0.61095418241882316</v>
      </c>
      <c r="AE178">
        <v>0.3058463032455444</v>
      </c>
      <c r="AF178">
        <v>0.38959794448852536</v>
      </c>
    </row>
    <row r="179" spans="4:32" x14ac:dyDescent="0.35">
      <c r="D179" s="11" t="s">
        <v>169</v>
      </c>
      <c r="E179">
        <v>4</v>
      </c>
      <c r="F179">
        <v>153.25</v>
      </c>
      <c r="G179">
        <v>3.1342500195503225</v>
      </c>
      <c r="H179">
        <v>6.1120000000000001E-2</v>
      </c>
      <c r="I179">
        <v>2.8648842692375198</v>
      </c>
      <c r="J179">
        <v>2.5211158871650698</v>
      </c>
      <c r="K179">
        <v>3.2125000000000001E-2</v>
      </c>
      <c r="L179">
        <v>0</v>
      </c>
      <c r="M179">
        <v>0</v>
      </c>
      <c r="N179">
        <v>5.0190671475082618E-2</v>
      </c>
      <c r="O179">
        <v>0.32240801138639452</v>
      </c>
      <c r="P179">
        <v>5.3113769028186805E-2</v>
      </c>
      <c r="Q179">
        <v>0.24305662187337876</v>
      </c>
      <c r="S179" t="s">
        <v>169</v>
      </c>
      <c r="T179">
        <v>4</v>
      </c>
      <c r="U179">
        <v>153.25</v>
      </c>
      <c r="V179">
        <v>3.1342500195503225</v>
      </c>
      <c r="W179">
        <v>6.1120000000000001E-2</v>
      </c>
      <c r="X179">
        <v>2.8648842692375198</v>
      </c>
      <c r="Y179">
        <v>2.5211158871650698</v>
      </c>
      <c r="Z179">
        <v>3.2125000000000001E-2</v>
      </c>
      <c r="AA179">
        <v>0</v>
      </c>
      <c r="AB179">
        <v>0</v>
      </c>
      <c r="AC179">
        <v>5.0190671475082618E-2</v>
      </c>
      <c r="AD179">
        <v>0.32240801138639452</v>
      </c>
      <c r="AE179">
        <v>5.3113769028186805E-2</v>
      </c>
      <c r="AF179">
        <v>0.24305662187337876</v>
      </c>
    </row>
    <row r="180" spans="4:32" x14ac:dyDescent="0.35">
      <c r="D180" s="11" t="s">
        <v>170</v>
      </c>
      <c r="E180">
        <v>5</v>
      </c>
      <c r="F180">
        <v>138.6</v>
      </c>
      <c r="G180">
        <v>4.003400021743774</v>
      </c>
      <c r="H180">
        <v>3.8300000000000001E-2</v>
      </c>
      <c r="I180">
        <v>3.6720000000000002</v>
      </c>
      <c r="J180">
        <v>3.8540000000000001</v>
      </c>
      <c r="K180">
        <v>0.38201659747505179</v>
      </c>
      <c r="L180">
        <v>0.78208529071807853</v>
      </c>
      <c r="M180">
        <v>0.83650000000000002</v>
      </c>
      <c r="N180">
        <v>9.4894943016052252E-2</v>
      </c>
      <c r="O180">
        <v>0.17768440536594396</v>
      </c>
      <c r="P180">
        <v>5.8758376453638086E-2</v>
      </c>
      <c r="Q180">
        <v>0.19312877009487162</v>
      </c>
      <c r="S180" t="s">
        <v>170</v>
      </c>
      <c r="T180">
        <v>5</v>
      </c>
      <c r="U180">
        <v>138.6</v>
      </c>
      <c r="V180">
        <v>4.003400021743774</v>
      </c>
      <c r="W180">
        <v>3.8300000000000001E-2</v>
      </c>
      <c r="X180">
        <v>3.6720000000000002</v>
      </c>
      <c r="Y180">
        <v>3.8540000000000001</v>
      </c>
      <c r="Z180">
        <v>0.38201659747505179</v>
      </c>
      <c r="AA180">
        <v>0.78208529071807853</v>
      </c>
      <c r="AB180">
        <v>0.83650000000000002</v>
      </c>
      <c r="AC180">
        <v>9.4894943016052252E-2</v>
      </c>
      <c r="AD180">
        <v>0.17768440536594396</v>
      </c>
      <c r="AE180">
        <v>5.8758376453638086E-2</v>
      </c>
      <c r="AF180">
        <v>0.19312877009487162</v>
      </c>
    </row>
    <row r="181" spans="4:32" x14ac:dyDescent="0.35">
      <c r="D181" s="11" t="s">
        <v>44</v>
      </c>
      <c r="E181">
        <v>5</v>
      </c>
      <c r="F181">
        <v>24.4</v>
      </c>
      <c r="G181">
        <v>6.5893999900817875</v>
      </c>
      <c r="H181">
        <v>5.8000000000000003E-2</v>
      </c>
      <c r="I181">
        <v>6.6150000000000002</v>
      </c>
      <c r="J181">
        <v>6.7949999999999999</v>
      </c>
      <c r="K181">
        <v>1.1733269219589242</v>
      </c>
      <c r="L181">
        <v>1.1047883179473865</v>
      </c>
      <c r="M181">
        <v>1.35</v>
      </c>
      <c r="N181">
        <v>0.84497594078063953</v>
      </c>
      <c r="O181">
        <v>0.396821055738449</v>
      </c>
      <c r="P181">
        <v>8.8497596421241748E-2</v>
      </c>
      <c r="Q181">
        <v>0.27204848424530026</v>
      </c>
      <c r="S181" t="s">
        <v>44</v>
      </c>
      <c r="T181">
        <v>5</v>
      </c>
      <c r="U181">
        <v>24.4</v>
      </c>
      <c r="V181">
        <v>6.5893999900817875</v>
      </c>
      <c r="W181">
        <v>5.8000000000000003E-2</v>
      </c>
      <c r="X181">
        <v>6.6150000000000002</v>
      </c>
      <c r="Y181">
        <v>6.7949999999999999</v>
      </c>
      <c r="Z181">
        <v>1.1733269219589242</v>
      </c>
      <c r="AA181">
        <v>1.1047883179473865</v>
      </c>
      <c r="AB181">
        <v>1.35</v>
      </c>
      <c r="AC181">
        <v>0.84497594078063953</v>
      </c>
      <c r="AD181">
        <v>0.396821055738449</v>
      </c>
      <c r="AE181">
        <v>8.8497596421241748E-2</v>
      </c>
      <c r="AF181">
        <v>0.27204848424530026</v>
      </c>
    </row>
    <row r="182" spans="4:32" x14ac:dyDescent="0.35">
      <c r="D182" s="11" t="s">
        <v>105</v>
      </c>
      <c r="E182">
        <v>5</v>
      </c>
      <c r="F182">
        <v>85</v>
      </c>
      <c r="G182">
        <v>5.2189999526977537</v>
      </c>
      <c r="H182">
        <v>2.4240000000000001E-2</v>
      </c>
      <c r="I182">
        <v>5.1989999999999998</v>
      </c>
      <c r="J182">
        <v>5.2910000000000004</v>
      </c>
      <c r="K182">
        <v>1.0034171581115721</v>
      </c>
      <c r="L182">
        <v>0.96713247062682994</v>
      </c>
      <c r="M182">
        <v>1.1335</v>
      </c>
      <c r="N182">
        <v>0.79712110012817372</v>
      </c>
      <c r="O182">
        <v>0.50957554160881036</v>
      </c>
      <c r="P182">
        <v>5.621085492265223E-2</v>
      </c>
      <c r="Q182">
        <v>4.9449368200182919E-2</v>
      </c>
      <c r="S182" t="s">
        <v>105</v>
      </c>
      <c r="T182">
        <v>5</v>
      </c>
      <c r="U182">
        <v>85</v>
      </c>
      <c r="V182">
        <v>5.2189999526977537</v>
      </c>
      <c r="W182">
        <v>2.4240000000000001E-2</v>
      </c>
      <c r="X182">
        <v>5.1989999999999998</v>
      </c>
      <c r="Y182">
        <v>5.2910000000000004</v>
      </c>
      <c r="Z182">
        <v>1.0034171581115721</v>
      </c>
      <c r="AA182">
        <v>0.96713247062682994</v>
      </c>
      <c r="AB182">
        <v>1.1335</v>
      </c>
      <c r="AC182">
        <v>0.79712110012817372</v>
      </c>
      <c r="AD182">
        <v>0.50957554160881036</v>
      </c>
      <c r="AE182">
        <v>5.621085492265223E-2</v>
      </c>
      <c r="AF182">
        <v>4.9449368200182919E-2</v>
      </c>
    </row>
    <row r="183" spans="4:32" x14ac:dyDescent="0.35">
      <c r="D183" s="11" t="s">
        <v>51</v>
      </c>
      <c r="E183">
        <v>5</v>
      </c>
      <c r="F183">
        <v>36</v>
      </c>
      <c r="G183">
        <v>6.3399999748229972</v>
      </c>
      <c r="H183">
        <v>5.0509999999999999E-2</v>
      </c>
      <c r="I183">
        <v>6.3840000000000003</v>
      </c>
      <c r="J183">
        <v>6.5780000000000003</v>
      </c>
      <c r="K183">
        <v>0.99291046498870794</v>
      </c>
      <c r="L183">
        <v>1.2213509788894668</v>
      </c>
      <c r="M183">
        <v>1.4245000000000001</v>
      </c>
      <c r="N183">
        <v>0.67167758471679684</v>
      </c>
      <c r="O183">
        <v>0.49209948301506046</v>
      </c>
      <c r="P183">
        <v>4.4971748370409029E-2</v>
      </c>
      <c r="Q183">
        <v>0.13745689459228522</v>
      </c>
      <c r="S183" t="s">
        <v>51</v>
      </c>
      <c r="T183">
        <v>5</v>
      </c>
      <c r="U183">
        <v>36</v>
      </c>
      <c r="V183">
        <v>6.3399999748229972</v>
      </c>
      <c r="W183">
        <v>5.0509999999999999E-2</v>
      </c>
      <c r="X183">
        <v>6.3840000000000003</v>
      </c>
      <c r="Y183">
        <v>6.5780000000000003</v>
      </c>
      <c r="Z183">
        <v>0.99291046498870794</v>
      </c>
      <c r="AA183">
        <v>1.2213509788894668</v>
      </c>
      <c r="AB183">
        <v>1.4245000000000001</v>
      </c>
      <c r="AC183">
        <v>0.67167758471679684</v>
      </c>
      <c r="AD183">
        <v>0.49209948301506046</v>
      </c>
      <c r="AE183">
        <v>4.4971748370409029E-2</v>
      </c>
      <c r="AF183">
        <v>0.13745689459228522</v>
      </c>
    </row>
    <row r="184" spans="4:32" x14ac:dyDescent="0.35">
      <c r="D184" s="11" t="s">
        <v>161</v>
      </c>
      <c r="E184">
        <v>3</v>
      </c>
      <c r="F184">
        <v>140</v>
      </c>
      <c r="G184">
        <v>3.9616666666666664</v>
      </c>
      <c r="H184">
        <v>4.7969999999999999E-2</v>
      </c>
      <c r="I184">
        <v>3.86</v>
      </c>
      <c r="J184">
        <v>4.0519999999999996</v>
      </c>
      <c r="K184">
        <v>0.26271666666666665</v>
      </c>
      <c r="L184">
        <v>0.69798000000000004</v>
      </c>
      <c r="M184">
        <v>0.75700000000000001</v>
      </c>
      <c r="N184">
        <v>0.38931999999999994</v>
      </c>
      <c r="O184">
        <v>0.17509666666666668</v>
      </c>
      <c r="P184">
        <v>0.15379000000000001</v>
      </c>
      <c r="Q184">
        <v>0.21070333333333335</v>
      </c>
      <c r="S184" t="s">
        <v>161</v>
      </c>
      <c r="T184">
        <v>3</v>
      </c>
      <c r="U184">
        <v>140</v>
      </c>
      <c r="V184">
        <v>3.9616666666666664</v>
      </c>
      <c r="W184">
        <v>4.7969999999999999E-2</v>
      </c>
      <c r="X184">
        <v>3.86</v>
      </c>
      <c r="Y184">
        <v>4.0519999999999996</v>
      </c>
      <c r="Z184">
        <v>0.26271666666666665</v>
      </c>
      <c r="AA184">
        <v>0.69798000000000004</v>
      </c>
      <c r="AB184">
        <v>0.75700000000000001</v>
      </c>
      <c r="AC184">
        <v>0.38931999999999994</v>
      </c>
      <c r="AD184">
        <v>0.17509666666666668</v>
      </c>
      <c r="AE184">
        <v>0.15379000000000001</v>
      </c>
      <c r="AF184">
        <v>0.21070333333333335</v>
      </c>
    </row>
    <row r="185" spans="4:32" x14ac:dyDescent="0.35">
      <c r="D185" s="11" t="s">
        <v>160</v>
      </c>
      <c r="E185">
        <v>5</v>
      </c>
      <c r="F185">
        <v>121.4</v>
      </c>
      <c r="G185">
        <v>4.3773999778747568</v>
      </c>
      <c r="H185">
        <v>6.6820000000000004E-2</v>
      </c>
      <c r="I185">
        <v>4.1070000000000002</v>
      </c>
      <c r="J185">
        <v>4.3650000000000002</v>
      </c>
      <c r="K185">
        <v>0.7227428504943848</v>
      </c>
      <c r="L185">
        <v>0.6576447876739504</v>
      </c>
      <c r="M185">
        <v>0.80500000000000005</v>
      </c>
      <c r="N185">
        <v>0.34671748678779601</v>
      </c>
      <c r="O185">
        <v>0.42301317416000356</v>
      </c>
      <c r="P185">
        <v>9.2801626720905306E-2</v>
      </c>
      <c r="Q185">
        <v>0.11230042553424839</v>
      </c>
      <c r="S185" t="s">
        <v>160</v>
      </c>
      <c r="T185">
        <v>5</v>
      </c>
      <c r="U185">
        <v>121.4</v>
      </c>
      <c r="V185">
        <v>4.3773999778747568</v>
      </c>
      <c r="W185">
        <v>6.6820000000000004E-2</v>
      </c>
      <c r="X185">
        <v>4.1070000000000002</v>
      </c>
      <c r="Y185">
        <v>4.3650000000000002</v>
      </c>
      <c r="Z185">
        <v>0.7227428504943848</v>
      </c>
      <c r="AA185">
        <v>0.6576447876739504</v>
      </c>
      <c r="AB185">
        <v>0.80500000000000005</v>
      </c>
      <c r="AC185">
        <v>0.34671748678779601</v>
      </c>
      <c r="AD185">
        <v>0.42301317416000356</v>
      </c>
      <c r="AE185">
        <v>9.2801626720905306E-2</v>
      </c>
      <c r="AF185">
        <v>0.11230042553424839</v>
      </c>
    </row>
    <row r="186" spans="4:32" x14ac:dyDescent="0.35">
      <c r="D186" s="11" t="s">
        <v>141</v>
      </c>
      <c r="E186">
        <v>5</v>
      </c>
      <c r="F186">
        <v>126</v>
      </c>
      <c r="G186">
        <v>4.3464000419616706</v>
      </c>
      <c r="H186">
        <v>3.6799999999999999E-2</v>
      </c>
      <c r="I186">
        <v>4.1909999999999998</v>
      </c>
      <c r="J186">
        <v>4.3529999999999998</v>
      </c>
      <c r="K186">
        <v>6.2342469760894782E-2</v>
      </c>
      <c r="L186">
        <v>1.0123278188578302</v>
      </c>
      <c r="M186">
        <v>1.1305000000000001</v>
      </c>
      <c r="N186">
        <v>0.20769340497207639</v>
      </c>
      <c r="O186">
        <v>0.23980626956367504</v>
      </c>
      <c r="P186">
        <v>6.0448271298408497E-2</v>
      </c>
      <c r="Q186">
        <v>0.23167516666316978</v>
      </c>
      <c r="S186" t="s">
        <v>141</v>
      </c>
      <c r="T186">
        <v>5</v>
      </c>
      <c r="U186">
        <v>126</v>
      </c>
      <c r="V186">
        <v>4.3464000419616706</v>
      </c>
      <c r="W186">
        <v>3.6799999999999999E-2</v>
      </c>
      <c r="X186">
        <v>4.1909999999999998</v>
      </c>
      <c r="Y186">
        <v>4.3529999999999998</v>
      </c>
      <c r="Z186">
        <v>6.2342469760894782E-2</v>
      </c>
      <c r="AA186">
        <v>1.0123278188578302</v>
      </c>
      <c r="AB186">
        <v>1.1305000000000001</v>
      </c>
      <c r="AC186">
        <v>0.20769340497207639</v>
      </c>
      <c r="AD186">
        <v>0.23980626956367504</v>
      </c>
      <c r="AE186">
        <v>6.0448271298408497E-2</v>
      </c>
      <c r="AF186">
        <v>0.23167516666316978</v>
      </c>
    </row>
    <row r="187" spans="4:32" x14ac:dyDescent="0.35">
      <c r="D187" s="11" t="s">
        <v>27</v>
      </c>
      <c r="E187">
        <v>5</v>
      </c>
      <c r="F187">
        <v>12.6</v>
      </c>
      <c r="G187">
        <v>7.126199999237059</v>
      </c>
      <c r="H187">
        <v>4.4540000000000003E-2</v>
      </c>
      <c r="I187">
        <v>6.9989999999999997</v>
      </c>
      <c r="J187">
        <v>7.1749999999999998</v>
      </c>
      <c r="K187">
        <v>1.0356552565231318</v>
      </c>
      <c r="L187">
        <v>1.2252678837458302</v>
      </c>
      <c r="M187">
        <v>1.4500000000000002</v>
      </c>
      <c r="N187">
        <v>0.83224785308456417</v>
      </c>
      <c r="O187">
        <v>0.59122832999420161</v>
      </c>
      <c r="P187">
        <v>0.10108131789922718</v>
      </c>
      <c r="Q187">
        <v>0.19642264580726621</v>
      </c>
      <c r="S187" t="s">
        <v>27</v>
      </c>
      <c r="T187">
        <v>5</v>
      </c>
      <c r="U187">
        <v>12.6</v>
      </c>
      <c r="V187">
        <v>7.126199999237059</v>
      </c>
      <c r="W187">
        <v>4.4540000000000003E-2</v>
      </c>
      <c r="X187">
        <v>6.9989999999999997</v>
      </c>
      <c r="Y187">
        <v>7.1749999999999998</v>
      </c>
      <c r="Z187">
        <v>1.0356552565231318</v>
      </c>
      <c r="AA187">
        <v>1.2252678837458302</v>
      </c>
      <c r="AB187">
        <v>1.4500000000000002</v>
      </c>
      <c r="AC187">
        <v>0.83224785308456417</v>
      </c>
      <c r="AD187">
        <v>0.59122832999420161</v>
      </c>
      <c r="AE187">
        <v>0.10108131789922718</v>
      </c>
      <c r="AF187">
        <v>0.19642264580726621</v>
      </c>
    </row>
    <row r="188" spans="4:32" x14ac:dyDescent="0.35">
      <c r="D188" s="11" t="s">
        <v>81</v>
      </c>
      <c r="E188">
        <v>5</v>
      </c>
      <c r="F188">
        <v>74</v>
      </c>
      <c r="G188">
        <v>5.4586000442504883</v>
      </c>
      <c r="H188">
        <v>4.394E-2</v>
      </c>
      <c r="I188">
        <v>5.3917772045731498</v>
      </c>
      <c r="J188">
        <v>5.5739999999999998</v>
      </c>
      <c r="K188">
        <v>1.1523172466812139</v>
      </c>
      <c r="L188">
        <v>0.79077100247701004</v>
      </c>
      <c r="M188">
        <v>1.2135</v>
      </c>
      <c r="N188">
        <v>0.76911570425796505</v>
      </c>
      <c r="O188">
        <v>0.28593445852279664</v>
      </c>
      <c r="P188">
        <v>3.368462200903892E-2</v>
      </c>
      <c r="Q188">
        <v>0.14515659523582461</v>
      </c>
      <c r="S188" t="s">
        <v>81</v>
      </c>
      <c r="T188">
        <v>5</v>
      </c>
      <c r="U188">
        <v>74</v>
      </c>
      <c r="V188">
        <v>5.4586000442504883</v>
      </c>
      <c r="W188">
        <v>4.394E-2</v>
      </c>
      <c r="X188">
        <v>5.3917772045731498</v>
      </c>
      <c r="Y188">
        <v>5.5739999999999998</v>
      </c>
      <c r="Z188">
        <v>1.1523172466812139</v>
      </c>
      <c r="AA188">
        <v>0.79077100247701004</v>
      </c>
      <c r="AB188">
        <v>1.2135</v>
      </c>
      <c r="AC188">
        <v>0.76911570425796505</v>
      </c>
      <c r="AD188">
        <v>0.28593445852279664</v>
      </c>
      <c r="AE188">
        <v>3.368462200903892E-2</v>
      </c>
      <c r="AF188">
        <v>0.14515659523582461</v>
      </c>
    </row>
    <row r="189" spans="4:32" x14ac:dyDescent="0.35">
      <c r="D189" s="11" t="s">
        <v>86</v>
      </c>
      <c r="E189">
        <v>5</v>
      </c>
      <c r="F189">
        <v>62.2</v>
      </c>
      <c r="G189">
        <v>5.7327999626159656</v>
      </c>
      <c r="H189">
        <v>5.5800000000000002E-2</v>
      </c>
      <c r="I189">
        <v>5.4420000000000002</v>
      </c>
      <c r="J189">
        <v>5.65</v>
      </c>
      <c r="K189">
        <v>1.2749276153945921</v>
      </c>
      <c r="L189">
        <v>0.91050442422231004</v>
      </c>
      <c r="M189">
        <v>1.2070000000000001</v>
      </c>
      <c r="N189">
        <v>0.91361494023513801</v>
      </c>
      <c r="O189">
        <v>0.37718030787277224</v>
      </c>
      <c r="P189">
        <v>4.6195595280408862E-2</v>
      </c>
      <c r="Q189">
        <v>0.24973886021423336</v>
      </c>
      <c r="S189" t="s">
        <v>86</v>
      </c>
      <c r="T189">
        <v>5</v>
      </c>
      <c r="U189">
        <v>62.2</v>
      </c>
      <c r="V189">
        <v>5.7327999626159656</v>
      </c>
      <c r="W189">
        <v>5.5800000000000002E-2</v>
      </c>
      <c r="X189">
        <v>5.4420000000000002</v>
      </c>
      <c r="Y189">
        <v>5.65</v>
      </c>
      <c r="Z189">
        <v>1.2749276153945921</v>
      </c>
      <c r="AA189">
        <v>0.91050442422231004</v>
      </c>
      <c r="AB189">
        <v>1.2070000000000001</v>
      </c>
      <c r="AC189">
        <v>0.91361494023513801</v>
      </c>
      <c r="AD189">
        <v>0.37718030787277224</v>
      </c>
      <c r="AE189">
        <v>4.6195595280408862E-2</v>
      </c>
      <c r="AF189">
        <v>0.24973886021423336</v>
      </c>
    </row>
    <row r="190" spans="4:32" x14ac:dyDescent="0.35">
      <c r="D190" s="11" t="s">
        <v>48</v>
      </c>
      <c r="E190">
        <v>5</v>
      </c>
      <c r="F190">
        <v>24.4</v>
      </c>
      <c r="G190">
        <v>6.6546000411987309</v>
      </c>
      <c r="H190">
        <v>4.1680000000000002E-2</v>
      </c>
      <c r="I190">
        <v>6.5149999999999997</v>
      </c>
      <c r="J190">
        <v>6.6769999999999996</v>
      </c>
      <c r="K190">
        <v>1.2685624704132081</v>
      </c>
      <c r="L190">
        <v>1.2160817389043166</v>
      </c>
      <c r="M190">
        <v>1.488</v>
      </c>
      <c r="N190">
        <v>0.82740680062103278</v>
      </c>
      <c r="O190">
        <v>0.47375323473358161</v>
      </c>
      <c r="P190">
        <v>3.4650585419893257E-2</v>
      </c>
      <c r="Q190">
        <v>8.0851351778507247E-2</v>
      </c>
      <c r="S190" t="s">
        <v>48</v>
      </c>
      <c r="T190">
        <v>5</v>
      </c>
      <c r="U190">
        <v>24.4</v>
      </c>
      <c r="V190">
        <v>6.6546000411987309</v>
      </c>
      <c r="W190">
        <v>4.1680000000000002E-2</v>
      </c>
      <c r="X190">
        <v>6.5149999999999997</v>
      </c>
      <c r="Y190">
        <v>6.6769999999999996</v>
      </c>
      <c r="Z190">
        <v>1.2685624704132081</v>
      </c>
      <c r="AA190">
        <v>1.2160817389043166</v>
      </c>
      <c r="AB190">
        <v>1.488</v>
      </c>
      <c r="AC190">
        <v>0.82740680062103278</v>
      </c>
      <c r="AD190">
        <v>0.47375323473358161</v>
      </c>
      <c r="AE190">
        <v>3.4650585419893257E-2</v>
      </c>
      <c r="AF190">
        <v>8.0851351778507247E-2</v>
      </c>
    </row>
    <row r="191" spans="4:32" x14ac:dyDescent="0.35">
      <c r="D191" s="11" t="s">
        <v>15</v>
      </c>
      <c r="E191">
        <v>5</v>
      </c>
      <c r="F191">
        <v>2.2000000000000002</v>
      </c>
      <c r="G191">
        <v>7.5459999671936044</v>
      </c>
      <c r="H191">
        <v>3.3279999999999997E-2</v>
      </c>
      <c r="I191">
        <v>7.46</v>
      </c>
      <c r="J191">
        <v>7.5919999999999996</v>
      </c>
      <c r="K191">
        <v>1.396728602554322</v>
      </c>
      <c r="L191">
        <v>1.3584805308405565</v>
      </c>
      <c r="M191">
        <v>1.5815000000000001</v>
      </c>
      <c r="N191">
        <v>0.86524910491561879</v>
      </c>
      <c r="O191">
        <v>0.62595934449005131</v>
      </c>
      <c r="P191">
        <v>0.42937401363372796</v>
      </c>
      <c r="Q191">
        <v>0.31887609774589543</v>
      </c>
      <c r="S191" t="s">
        <v>15</v>
      </c>
      <c r="T191">
        <v>5</v>
      </c>
      <c r="U191">
        <v>2.2000000000000002</v>
      </c>
      <c r="V191">
        <v>7.5459999671936044</v>
      </c>
      <c r="W191">
        <v>3.3279999999999997E-2</v>
      </c>
      <c r="X191">
        <v>7.46</v>
      </c>
      <c r="Y191">
        <v>7.5919999999999996</v>
      </c>
      <c r="Z191">
        <v>1.396728602554322</v>
      </c>
      <c r="AA191">
        <v>1.3584805308405565</v>
      </c>
      <c r="AB191">
        <v>1.5815000000000001</v>
      </c>
      <c r="AC191">
        <v>0.86524910491561879</v>
      </c>
      <c r="AD191">
        <v>0.62595934449005131</v>
      </c>
      <c r="AE191">
        <v>0.42937401363372796</v>
      </c>
      <c r="AF191">
        <v>0.31887609774589543</v>
      </c>
    </row>
    <row r="192" spans="4:32" x14ac:dyDescent="0.35">
      <c r="D192" s="11" t="s">
        <v>147</v>
      </c>
      <c r="E192">
        <v>1</v>
      </c>
      <c r="F192">
        <v>126</v>
      </c>
      <c r="G192">
        <v>4.3689999999999998</v>
      </c>
      <c r="H192">
        <v>8.0960000000000004E-2</v>
      </c>
      <c r="K192">
        <v>0.44024999999999997</v>
      </c>
      <c r="L192">
        <v>0.59206999999999999</v>
      </c>
      <c r="N192">
        <v>0.36291000000000001</v>
      </c>
      <c r="O192">
        <v>0.46073999999999998</v>
      </c>
      <c r="P192">
        <v>0.28105000000000002</v>
      </c>
      <c r="Q192">
        <v>0.18093000000000001</v>
      </c>
      <c r="S192" t="s">
        <v>147</v>
      </c>
      <c r="T192">
        <v>1</v>
      </c>
      <c r="U192">
        <v>126</v>
      </c>
      <c r="V192">
        <v>4.3689999999999998</v>
      </c>
      <c r="W192">
        <v>8.0960000000000004E-2</v>
      </c>
      <c r="Z192">
        <v>0.44024999999999997</v>
      </c>
      <c r="AA192">
        <v>0.59206999999999999</v>
      </c>
      <c r="AC192">
        <v>0.36291000000000001</v>
      </c>
      <c r="AD192">
        <v>0.46073999999999998</v>
      </c>
      <c r="AE192">
        <v>0.28105000000000002</v>
      </c>
      <c r="AF192">
        <v>0.18093000000000001</v>
      </c>
    </row>
    <row r="193" spans="4:32" x14ac:dyDescent="0.35">
      <c r="D193" s="11" t="s">
        <v>119</v>
      </c>
      <c r="E193">
        <v>5</v>
      </c>
      <c r="F193">
        <v>86.6</v>
      </c>
      <c r="G193">
        <v>5.1994000038146977</v>
      </c>
      <c r="H193">
        <v>7.4459999999999998E-2</v>
      </c>
      <c r="I193">
        <v>5.0369999999999999</v>
      </c>
      <c r="J193">
        <v>5.2729999999999997</v>
      </c>
      <c r="K193">
        <v>0.99992276730346608</v>
      </c>
      <c r="L193">
        <v>1.1897989020284034</v>
      </c>
      <c r="M193">
        <v>1.421</v>
      </c>
      <c r="N193">
        <v>0.64256274908828748</v>
      </c>
      <c r="O193">
        <v>0.54537996674728395</v>
      </c>
      <c r="P193">
        <v>0.11740105063867559</v>
      </c>
      <c r="Q193">
        <v>0.169933569946289</v>
      </c>
      <c r="S193" t="s">
        <v>119</v>
      </c>
      <c r="T193">
        <v>5</v>
      </c>
      <c r="U193">
        <v>86.6</v>
      </c>
      <c r="V193">
        <v>5.1994000038146977</v>
      </c>
      <c r="W193">
        <v>7.4459999999999998E-2</v>
      </c>
      <c r="X193">
        <v>5.0369999999999999</v>
      </c>
      <c r="Y193">
        <v>5.2729999999999997</v>
      </c>
      <c r="Z193">
        <v>0.99992276730346608</v>
      </c>
      <c r="AA193">
        <v>1.1897989020284034</v>
      </c>
      <c r="AB193">
        <v>1.421</v>
      </c>
      <c r="AC193">
        <v>0.64256274908828748</v>
      </c>
      <c r="AD193">
        <v>0.54537996674728395</v>
      </c>
      <c r="AE193">
        <v>0.11740105063867559</v>
      </c>
      <c r="AF193">
        <v>0.169933569946289</v>
      </c>
    </row>
    <row r="194" spans="4:32" x14ac:dyDescent="0.35">
      <c r="D194" s="11" t="s">
        <v>67</v>
      </c>
      <c r="E194">
        <v>5</v>
      </c>
      <c r="F194">
        <v>48.2</v>
      </c>
      <c r="G194">
        <v>5.9919999794006333</v>
      </c>
      <c r="H194">
        <v>4.5280000000000001E-2</v>
      </c>
      <c r="I194">
        <v>5.88</v>
      </c>
      <c r="J194">
        <v>6.0720000000000001</v>
      </c>
      <c r="K194">
        <v>0.92778007966613796</v>
      </c>
      <c r="L194">
        <v>1.0483129379018132</v>
      </c>
      <c r="M194">
        <v>1.3210000000000002</v>
      </c>
      <c r="N194">
        <v>0.75330324447250352</v>
      </c>
      <c r="O194">
        <v>0.47952763971138007</v>
      </c>
      <c r="P194">
        <v>0.14168092949771879</v>
      </c>
      <c r="Q194">
        <v>0.12125249300479882</v>
      </c>
      <c r="S194" t="s">
        <v>67</v>
      </c>
      <c r="T194">
        <v>5</v>
      </c>
      <c r="U194">
        <v>48.2</v>
      </c>
      <c r="V194">
        <v>5.9919999794006333</v>
      </c>
      <c r="W194">
        <v>4.5280000000000001E-2</v>
      </c>
      <c r="X194">
        <v>5.88</v>
      </c>
      <c r="Y194">
        <v>6.0720000000000001</v>
      </c>
      <c r="Z194">
        <v>0.92778007966613796</v>
      </c>
      <c r="AA194">
        <v>1.0483129379018132</v>
      </c>
      <c r="AB194">
        <v>1.3210000000000002</v>
      </c>
      <c r="AC194">
        <v>0.75330324447250352</v>
      </c>
      <c r="AD194">
        <v>0.47952763971138007</v>
      </c>
      <c r="AE194">
        <v>0.14168092949771879</v>
      </c>
      <c r="AF194">
        <v>0.12125249300479882</v>
      </c>
    </row>
    <row r="195" spans="4:32" x14ac:dyDescent="0.35">
      <c r="D195" s="11" t="s">
        <v>156</v>
      </c>
      <c r="E195">
        <v>5</v>
      </c>
      <c r="F195">
        <v>123.6</v>
      </c>
      <c r="G195">
        <v>4.3752000267028803</v>
      </c>
      <c r="H195">
        <v>3.2599999999999997E-2</v>
      </c>
      <c r="I195">
        <v>4.2590000000000003</v>
      </c>
      <c r="J195">
        <v>4.6448664774000603</v>
      </c>
      <c r="K195">
        <v>0.92469036149978634</v>
      </c>
      <c r="L195">
        <v>0.747533797384898</v>
      </c>
      <c r="M195">
        <v>1.032</v>
      </c>
      <c r="N195">
        <v>0.57109345174407955</v>
      </c>
      <c r="O195">
        <v>0.23929203092575077</v>
      </c>
      <c r="P195">
        <v>9.1110273095607791E-2</v>
      </c>
      <c r="Q195">
        <v>0.1073202885570526</v>
      </c>
      <c r="S195" t="s">
        <v>156</v>
      </c>
      <c r="T195">
        <v>5</v>
      </c>
      <c r="U195">
        <v>123.6</v>
      </c>
      <c r="V195">
        <v>4.3752000267028803</v>
      </c>
      <c r="W195">
        <v>3.2599999999999997E-2</v>
      </c>
      <c r="X195">
        <v>4.2590000000000003</v>
      </c>
      <c r="Y195">
        <v>4.6448664774000603</v>
      </c>
      <c r="Z195">
        <v>0.92469036149978634</v>
      </c>
      <c r="AA195">
        <v>0.747533797384898</v>
      </c>
      <c r="AB195">
        <v>1.032</v>
      </c>
      <c r="AC195">
        <v>0.57109345174407955</v>
      </c>
      <c r="AD195">
        <v>0.23929203092575077</v>
      </c>
      <c r="AE195">
        <v>9.1110273095607791E-2</v>
      </c>
      <c r="AF195">
        <v>0.1073202885570526</v>
      </c>
    </row>
    <row r="196" spans="4:32" x14ac:dyDescent="0.35">
      <c r="D196" s="11" t="s">
        <v>61</v>
      </c>
      <c r="E196">
        <v>5</v>
      </c>
      <c r="F196">
        <v>41.6</v>
      </c>
      <c r="G196">
        <v>6.1241999565124514</v>
      </c>
      <c r="H196">
        <v>5.6180000000000001E-2</v>
      </c>
      <c r="I196">
        <v>5.9669999999999996</v>
      </c>
      <c r="J196">
        <v>6.1689999999999996</v>
      </c>
      <c r="K196">
        <v>0.82960489916610725</v>
      </c>
      <c r="L196">
        <v>1.0056483638509099</v>
      </c>
      <c r="M196">
        <v>1.2364999999999999</v>
      </c>
      <c r="N196">
        <v>0.65947771055603011</v>
      </c>
      <c r="O196">
        <v>0.41992850593376163</v>
      </c>
      <c r="P196">
        <v>9.397419197845458E-2</v>
      </c>
      <c r="Q196">
        <v>8.6389597082614913E-2</v>
      </c>
      <c r="S196" t="s">
        <v>61</v>
      </c>
      <c r="T196">
        <v>5</v>
      </c>
      <c r="U196">
        <v>41.6</v>
      </c>
      <c r="V196">
        <v>6.1241999565124514</v>
      </c>
      <c r="W196">
        <v>5.6180000000000001E-2</v>
      </c>
      <c r="X196">
        <v>5.9669999999999996</v>
      </c>
      <c r="Y196">
        <v>6.1689999999999996</v>
      </c>
      <c r="Z196">
        <v>0.82960489916610725</v>
      </c>
      <c r="AA196">
        <v>1.0056483638509099</v>
      </c>
      <c r="AB196">
        <v>1.2364999999999999</v>
      </c>
      <c r="AC196">
        <v>0.65947771055603011</v>
      </c>
      <c r="AD196">
        <v>0.41992850593376163</v>
      </c>
      <c r="AE196">
        <v>9.397419197845458E-2</v>
      </c>
      <c r="AF196">
        <v>8.6389597082614913E-2</v>
      </c>
    </row>
    <row r="197" spans="4:32" x14ac:dyDescent="0.35">
      <c r="D197" s="11" t="s">
        <v>93</v>
      </c>
      <c r="E197">
        <v>5</v>
      </c>
      <c r="F197">
        <v>65.8</v>
      </c>
      <c r="G197">
        <v>5.6378000122070322</v>
      </c>
      <c r="H197">
        <v>4.0129999999999999E-2</v>
      </c>
      <c r="I197">
        <v>5.4370000000000003</v>
      </c>
      <c r="J197">
        <v>5.5970000000000004</v>
      </c>
      <c r="K197">
        <v>1.237851868034362</v>
      </c>
      <c r="L197">
        <v>1.2520703665542599</v>
      </c>
      <c r="M197">
        <v>1.53</v>
      </c>
      <c r="N197">
        <v>0.75215166327285765</v>
      </c>
      <c r="O197">
        <v>0.47822428607749945</v>
      </c>
      <c r="P197">
        <v>0.17105578444576261</v>
      </c>
      <c r="Q197">
        <v>9.1784162240982042E-2</v>
      </c>
      <c r="S197" t="s">
        <v>93</v>
      </c>
      <c r="T197">
        <v>5</v>
      </c>
      <c r="U197">
        <v>65.8</v>
      </c>
      <c r="V197">
        <v>5.6378000122070322</v>
      </c>
      <c r="W197">
        <v>4.0129999999999999E-2</v>
      </c>
      <c r="X197">
        <v>5.4370000000000003</v>
      </c>
      <c r="Y197">
        <v>5.5970000000000004</v>
      </c>
      <c r="Z197">
        <v>1.237851868034362</v>
      </c>
      <c r="AA197">
        <v>1.2520703665542599</v>
      </c>
      <c r="AB197">
        <v>1.53</v>
      </c>
      <c r="AC197">
        <v>0.75215166327285765</v>
      </c>
      <c r="AD197">
        <v>0.47822428607749945</v>
      </c>
      <c r="AE197">
        <v>0.17105578444576261</v>
      </c>
      <c r="AF197">
        <v>9.1784162240982042E-2</v>
      </c>
    </row>
    <row r="198" spans="4:32" x14ac:dyDescent="0.35">
      <c r="D198" s="11" t="s">
        <v>143</v>
      </c>
      <c r="E198">
        <v>5</v>
      </c>
      <c r="F198">
        <v>123.4</v>
      </c>
      <c r="G198">
        <v>4.4232000076293945</v>
      </c>
      <c r="H198">
        <v>3.78E-2</v>
      </c>
      <c r="I198">
        <v>4.4249999999999998</v>
      </c>
      <c r="J198">
        <v>4.5910000000000002</v>
      </c>
      <c r="K198">
        <v>0.29335876909446723</v>
      </c>
      <c r="L198">
        <v>0.6160164012527467</v>
      </c>
      <c r="M198">
        <v>0.99149999999999994</v>
      </c>
      <c r="N198">
        <v>0.41254794150924684</v>
      </c>
      <c r="O198">
        <v>0.40127454848861699</v>
      </c>
      <c r="P198">
        <v>0.14672714277362819</v>
      </c>
      <c r="Q198">
        <v>0.25602414802932738</v>
      </c>
      <c r="S198" t="s">
        <v>143</v>
      </c>
      <c r="T198">
        <v>5</v>
      </c>
      <c r="U198">
        <v>123.4</v>
      </c>
      <c r="V198">
        <v>4.4232000076293945</v>
      </c>
      <c r="W198">
        <v>3.78E-2</v>
      </c>
      <c r="X198">
        <v>4.4249999999999998</v>
      </c>
      <c r="Y198">
        <v>4.5910000000000002</v>
      </c>
      <c r="Z198">
        <v>0.29335876909446723</v>
      </c>
      <c r="AA198">
        <v>0.6160164012527467</v>
      </c>
      <c r="AB198">
        <v>0.99149999999999994</v>
      </c>
      <c r="AC198">
        <v>0.41254794150924684</v>
      </c>
      <c r="AD198">
        <v>0.40127454848861699</v>
      </c>
      <c r="AE198">
        <v>0.14672714277362819</v>
      </c>
      <c r="AF198">
        <v>0.25602414802932738</v>
      </c>
    </row>
    <row r="199" spans="4:32" x14ac:dyDescent="0.35">
      <c r="D199" s="11" t="s">
        <v>19</v>
      </c>
      <c r="E199">
        <v>5</v>
      </c>
      <c r="F199">
        <v>3.6</v>
      </c>
      <c r="G199">
        <v>7.5377999725341791</v>
      </c>
      <c r="H199">
        <v>3.1399999999999997E-2</v>
      </c>
      <c r="I199">
        <v>7.351</v>
      </c>
      <c r="J199">
        <v>7.4749999999999996</v>
      </c>
      <c r="K199">
        <v>1.3569603850326539</v>
      </c>
      <c r="L199">
        <v>1.3310489083607999</v>
      </c>
      <c r="M199">
        <v>1.5895000000000001</v>
      </c>
      <c r="N199">
        <v>0.87383553390884394</v>
      </c>
      <c r="O199">
        <v>0.62153617133712769</v>
      </c>
      <c r="P199">
        <v>0.39847430858802801</v>
      </c>
      <c r="Q199">
        <v>0.217782554517746</v>
      </c>
      <c r="S199" t="s">
        <v>19</v>
      </c>
      <c r="T199">
        <v>5</v>
      </c>
      <c r="U199">
        <v>3.6</v>
      </c>
      <c r="V199">
        <v>7.5377999725341791</v>
      </c>
      <c r="W199">
        <v>3.1399999999999997E-2</v>
      </c>
      <c r="X199">
        <v>7.351</v>
      </c>
      <c r="Y199">
        <v>7.4749999999999996</v>
      </c>
      <c r="Z199">
        <v>1.3569603850326539</v>
      </c>
      <c r="AA199">
        <v>1.3310489083607999</v>
      </c>
      <c r="AB199">
        <v>1.5895000000000001</v>
      </c>
      <c r="AC199">
        <v>0.87383553390884394</v>
      </c>
      <c r="AD199">
        <v>0.62153617133712769</v>
      </c>
      <c r="AE199">
        <v>0.39847430858802801</v>
      </c>
      <c r="AF199">
        <v>0.217782554517746</v>
      </c>
    </row>
    <row r="200" spans="4:32" x14ac:dyDescent="0.35">
      <c r="D200" s="11" t="s">
        <v>46</v>
      </c>
      <c r="E200">
        <v>5</v>
      </c>
      <c r="F200">
        <v>27.8</v>
      </c>
      <c r="G200">
        <v>6.5151999824523923</v>
      </c>
      <c r="H200">
        <v>3.5119999999999998E-2</v>
      </c>
      <c r="I200">
        <v>6.3970000000000002</v>
      </c>
      <c r="J200">
        <v>6.5590000000000002</v>
      </c>
      <c r="K200">
        <v>1.3441166923828118</v>
      </c>
      <c r="L200">
        <v>1.2177456172180168</v>
      </c>
      <c r="M200">
        <v>1.4689999999999999</v>
      </c>
      <c r="N200">
        <v>0.91624117035675035</v>
      </c>
      <c r="O200">
        <v>0.48839042310333258</v>
      </c>
      <c r="P200">
        <v>0.18320848565864561</v>
      </c>
      <c r="Q200">
        <v>0.11673646136188501</v>
      </c>
      <c r="S200" t="s">
        <v>46</v>
      </c>
      <c r="T200">
        <v>5</v>
      </c>
      <c r="U200">
        <v>27.8</v>
      </c>
      <c r="V200">
        <v>6.5151999824523923</v>
      </c>
      <c r="W200">
        <v>3.5119999999999998E-2</v>
      </c>
      <c r="X200">
        <v>6.3970000000000002</v>
      </c>
      <c r="Y200">
        <v>6.5590000000000002</v>
      </c>
      <c r="Z200">
        <v>1.3441166923828118</v>
      </c>
      <c r="AA200">
        <v>1.2177456172180168</v>
      </c>
      <c r="AB200">
        <v>1.4689999999999999</v>
      </c>
      <c r="AC200">
        <v>0.91624117035675035</v>
      </c>
      <c r="AD200">
        <v>0.48839042310333258</v>
      </c>
      <c r="AE200">
        <v>0.18320848565864561</v>
      </c>
      <c r="AF200">
        <v>0.11673646136188501</v>
      </c>
    </row>
    <row r="201" spans="4:32" x14ac:dyDescent="0.35">
      <c r="D201" s="11" t="s">
        <v>164</v>
      </c>
      <c r="E201">
        <v>5</v>
      </c>
      <c r="F201">
        <v>120.4</v>
      </c>
      <c r="G201">
        <v>4.4078000305175777</v>
      </c>
      <c r="H201">
        <v>4.5469999999999997E-2</v>
      </c>
      <c r="I201">
        <v>4.03</v>
      </c>
      <c r="J201">
        <v>4.3726385395228897</v>
      </c>
      <c r="K201">
        <v>1.1019920478820802</v>
      </c>
      <c r="L201">
        <v>0.92819340577443332</v>
      </c>
      <c r="M201">
        <v>1.1735</v>
      </c>
      <c r="N201">
        <v>0.42293971769714356</v>
      </c>
      <c r="O201">
        <v>0.31268971540832513</v>
      </c>
      <c r="P201">
        <v>7.7419357440471639E-2</v>
      </c>
      <c r="Q201">
        <v>4.988907566738128E-2</v>
      </c>
      <c r="S201" t="s">
        <v>164</v>
      </c>
      <c r="T201">
        <v>5</v>
      </c>
      <c r="U201">
        <v>120.4</v>
      </c>
      <c r="V201">
        <v>4.4078000305175777</v>
      </c>
      <c r="W201">
        <v>4.5469999999999997E-2</v>
      </c>
      <c r="X201">
        <v>4.03</v>
      </c>
      <c r="Y201">
        <v>4.3726385395228897</v>
      </c>
      <c r="Z201">
        <v>1.1019920478820802</v>
      </c>
      <c r="AA201">
        <v>0.92819340577443332</v>
      </c>
      <c r="AB201">
        <v>1.1735</v>
      </c>
      <c r="AC201">
        <v>0.42293971769714356</v>
      </c>
      <c r="AD201">
        <v>0.31268971540832513</v>
      </c>
      <c r="AE201">
        <v>7.7419357440471639E-2</v>
      </c>
      <c r="AF201">
        <v>4.988907566738128E-2</v>
      </c>
    </row>
    <row r="202" spans="4:32" x14ac:dyDescent="0.35">
      <c r="D202" s="11" t="s">
        <v>235</v>
      </c>
      <c r="E202">
        <v>1</v>
      </c>
      <c r="F202">
        <v>120</v>
      </c>
      <c r="G202">
        <v>4.516</v>
      </c>
      <c r="K202">
        <v>0.308</v>
      </c>
      <c r="M202">
        <v>0.93899999999999995</v>
      </c>
      <c r="N202">
        <v>0.42799999999999999</v>
      </c>
      <c r="O202">
        <v>0.38200000000000001</v>
      </c>
      <c r="P202">
        <v>0.16700000000000001</v>
      </c>
      <c r="Q202">
        <v>0.26900000000000002</v>
      </c>
      <c r="S202" t="s">
        <v>235</v>
      </c>
      <c r="T202">
        <v>1</v>
      </c>
      <c r="U202">
        <v>120</v>
      </c>
      <c r="V202">
        <v>4.516</v>
      </c>
      <c r="Z202">
        <v>0.308</v>
      </c>
      <c r="AB202">
        <v>0.93899999999999995</v>
      </c>
      <c r="AC202">
        <v>0.42799999999999999</v>
      </c>
      <c r="AD202">
        <v>0.38200000000000001</v>
      </c>
      <c r="AE202">
        <v>0.16700000000000001</v>
      </c>
      <c r="AF202">
        <v>0.26900000000000002</v>
      </c>
    </row>
    <row r="203" spans="4:32" x14ac:dyDescent="0.35">
      <c r="D203" s="11" t="s">
        <v>151</v>
      </c>
      <c r="E203">
        <v>5</v>
      </c>
      <c r="F203">
        <v>125.6</v>
      </c>
      <c r="G203">
        <v>4.3387999549865723</v>
      </c>
      <c r="H203">
        <v>4.2209999999999998E-2</v>
      </c>
      <c r="I203">
        <v>4.1639999999999997</v>
      </c>
      <c r="J203">
        <v>4.34</v>
      </c>
      <c r="K203">
        <v>0.85388653284454341</v>
      </c>
      <c r="L203">
        <v>0.38290831132253</v>
      </c>
      <c r="M203">
        <v>0.629</v>
      </c>
      <c r="N203">
        <v>0.68283139617156974</v>
      </c>
      <c r="O203">
        <v>0.35215800712203976</v>
      </c>
      <c r="P203">
        <v>0.26655532705497736</v>
      </c>
      <c r="Q203">
        <v>5.1667763087511066E-2</v>
      </c>
      <c r="S203" t="s">
        <v>151</v>
      </c>
      <c r="T203">
        <v>5</v>
      </c>
      <c r="U203">
        <v>125.6</v>
      </c>
      <c r="V203">
        <v>4.3387999549865723</v>
      </c>
      <c r="W203">
        <v>4.2209999999999998E-2</v>
      </c>
      <c r="X203">
        <v>4.1639999999999997</v>
      </c>
      <c r="Y203">
        <v>4.34</v>
      </c>
      <c r="Z203">
        <v>0.85388653284454341</v>
      </c>
      <c r="AA203">
        <v>0.38290831132253</v>
      </c>
      <c r="AB203">
        <v>0.629</v>
      </c>
      <c r="AC203">
        <v>0.68283139617156974</v>
      </c>
      <c r="AD203">
        <v>0.35215800712203976</v>
      </c>
      <c r="AE203">
        <v>0.26655532705497736</v>
      </c>
      <c r="AF203">
        <v>5.1667763087511066E-2</v>
      </c>
    </row>
    <row r="204" spans="4:32" x14ac:dyDescent="0.35">
      <c r="D204" s="11" t="s">
        <v>43</v>
      </c>
      <c r="E204">
        <v>5</v>
      </c>
      <c r="F204">
        <v>18</v>
      </c>
      <c r="G204">
        <v>6.9290000427246099</v>
      </c>
      <c r="H204">
        <v>1.848E-2</v>
      </c>
      <c r="I204">
        <v>6.93</v>
      </c>
      <c r="J204">
        <v>7.0579999999999998</v>
      </c>
      <c r="K204">
        <v>1.3953426767425541</v>
      </c>
      <c r="L204">
        <v>1.2898767838033032</v>
      </c>
      <c r="M204">
        <v>1.464</v>
      </c>
      <c r="N204">
        <v>0.87073614635086061</v>
      </c>
      <c r="O204">
        <v>0.5585882768974304</v>
      </c>
      <c r="P204">
        <v>0.26513438762474062</v>
      </c>
      <c r="Q204">
        <v>0.29138583400917062</v>
      </c>
      <c r="S204" t="s">
        <v>43</v>
      </c>
      <c r="T204">
        <v>5</v>
      </c>
      <c r="U204">
        <v>18</v>
      </c>
      <c r="V204">
        <v>6.9290000427246099</v>
      </c>
      <c r="W204">
        <v>1.848E-2</v>
      </c>
      <c r="X204">
        <v>6.93</v>
      </c>
      <c r="Y204">
        <v>7.0579999999999998</v>
      </c>
      <c r="Z204">
        <v>1.3953426767425541</v>
      </c>
      <c r="AA204">
        <v>1.2898767838033032</v>
      </c>
      <c r="AB204">
        <v>1.464</v>
      </c>
      <c r="AC204">
        <v>0.87073614635086061</v>
      </c>
      <c r="AD204">
        <v>0.5585882768974304</v>
      </c>
      <c r="AE204">
        <v>0.26513438762474062</v>
      </c>
      <c r="AF204">
        <v>0.29138583400917062</v>
      </c>
    </row>
    <row r="205" spans="4:32" x14ac:dyDescent="0.35">
      <c r="D205" s="11" t="s">
        <v>135</v>
      </c>
      <c r="E205">
        <v>5</v>
      </c>
      <c r="F205">
        <v>115</v>
      </c>
      <c r="G205">
        <v>4.5363999771118158</v>
      </c>
      <c r="H205">
        <v>4.7419999999999997E-2</v>
      </c>
      <c r="I205">
        <v>4.1849999999999996</v>
      </c>
      <c r="J205">
        <v>4.367</v>
      </c>
      <c r="K205">
        <v>0.60937496488571163</v>
      </c>
      <c r="L205">
        <v>0.68224491224924744</v>
      </c>
      <c r="M205">
        <v>0.88200000000000001</v>
      </c>
      <c r="N205">
        <v>0.36335354535675041</v>
      </c>
      <c r="O205">
        <v>0.42723525870323176</v>
      </c>
      <c r="P205">
        <v>3.409727397441864E-2</v>
      </c>
      <c r="Q205">
        <v>0.23136478875160221</v>
      </c>
      <c r="S205" t="s">
        <v>135</v>
      </c>
      <c r="T205">
        <v>5</v>
      </c>
      <c r="U205">
        <v>115</v>
      </c>
      <c r="V205">
        <v>4.5363999771118158</v>
      </c>
      <c r="W205">
        <v>4.7419999999999997E-2</v>
      </c>
      <c r="X205">
        <v>4.1849999999999996</v>
      </c>
      <c r="Y205">
        <v>4.367</v>
      </c>
      <c r="Z205">
        <v>0.60937496488571163</v>
      </c>
      <c r="AA205">
        <v>0.68224491224924744</v>
      </c>
      <c r="AB205">
        <v>0.88200000000000001</v>
      </c>
      <c r="AC205">
        <v>0.36335354535675041</v>
      </c>
      <c r="AD205">
        <v>0.42723525870323176</v>
      </c>
      <c r="AE205">
        <v>3.409727397441864E-2</v>
      </c>
      <c r="AF205">
        <v>0.23136478875160221</v>
      </c>
    </row>
    <row r="206" spans="4:32" x14ac:dyDescent="0.35">
      <c r="D206" s="11" t="s">
        <v>123</v>
      </c>
      <c r="E206">
        <v>5</v>
      </c>
      <c r="F206">
        <v>89.8</v>
      </c>
      <c r="G206">
        <v>5.1524000473022458</v>
      </c>
      <c r="H206">
        <v>5.0619999999999998E-2</v>
      </c>
      <c r="I206">
        <v>4.9349999999999996</v>
      </c>
      <c r="J206">
        <v>5.1310000000000002</v>
      </c>
      <c r="K206">
        <v>1.2054814962234501</v>
      </c>
      <c r="L206">
        <v>0.97449152423858665</v>
      </c>
      <c r="M206">
        <v>1.1789999999999998</v>
      </c>
      <c r="N206">
        <v>0.87412378061676022</v>
      </c>
      <c r="O206">
        <v>8.5788250188350679E-2</v>
      </c>
      <c r="P206">
        <v>3.5305955378294E-2</v>
      </c>
      <c r="Q206">
        <v>0</v>
      </c>
      <c r="S206" t="s">
        <v>123</v>
      </c>
      <c r="T206">
        <v>5</v>
      </c>
      <c r="U206">
        <v>89.8</v>
      </c>
      <c r="V206">
        <v>5.1524000473022458</v>
      </c>
      <c r="W206">
        <v>5.0619999999999998E-2</v>
      </c>
      <c r="X206">
        <v>4.9349999999999996</v>
      </c>
      <c r="Y206">
        <v>5.1310000000000002</v>
      </c>
      <c r="Z206">
        <v>1.2054814962234501</v>
      </c>
      <c r="AA206">
        <v>0.97449152423858665</v>
      </c>
      <c r="AB206">
        <v>1.1789999999999998</v>
      </c>
      <c r="AC206">
        <v>0.87412378061676022</v>
      </c>
      <c r="AD206">
        <v>8.5788250188350679E-2</v>
      </c>
      <c r="AE206">
        <v>3.5305955378294E-2</v>
      </c>
      <c r="AF206">
        <v>0</v>
      </c>
    </row>
    <row r="207" spans="4:32" x14ac:dyDescent="0.35">
      <c r="D207" s="11" t="s">
        <v>62</v>
      </c>
      <c r="E207">
        <v>5</v>
      </c>
      <c r="F207">
        <v>33.6</v>
      </c>
      <c r="G207">
        <v>6.3437999992370591</v>
      </c>
      <c r="H207">
        <v>5.2240000000000002E-2</v>
      </c>
      <c r="I207">
        <v>6.2130000000000001</v>
      </c>
      <c r="J207">
        <v>6.4349999999999996</v>
      </c>
      <c r="K207">
        <v>0.80661438919448858</v>
      </c>
      <c r="L207">
        <v>1.0567783978780101</v>
      </c>
      <c r="M207">
        <v>1.2685</v>
      </c>
      <c r="N207">
        <v>0.61577599795150761</v>
      </c>
      <c r="O207">
        <v>0.55028612358474738</v>
      </c>
      <c r="P207">
        <v>8.1590655716419228E-2</v>
      </c>
      <c r="Q207">
        <v>0.24009167856597902</v>
      </c>
      <c r="S207" t="s">
        <v>62</v>
      </c>
      <c r="T207">
        <v>5</v>
      </c>
      <c r="U207">
        <v>33.6</v>
      </c>
      <c r="V207">
        <v>6.3437999992370591</v>
      </c>
      <c r="W207">
        <v>5.2240000000000002E-2</v>
      </c>
      <c r="X207">
        <v>6.2130000000000001</v>
      </c>
      <c r="Y207">
        <v>6.4349999999999996</v>
      </c>
      <c r="Z207">
        <v>0.80661438919448858</v>
      </c>
      <c r="AA207">
        <v>1.0567783978780101</v>
      </c>
      <c r="AB207">
        <v>1.2685</v>
      </c>
      <c r="AC207">
        <v>0.61577599795150761</v>
      </c>
      <c r="AD207">
        <v>0.55028612358474738</v>
      </c>
      <c r="AE207">
        <v>8.1590655716419228E-2</v>
      </c>
      <c r="AF207">
        <v>0.24009167856597902</v>
      </c>
    </row>
    <row r="208" spans="4:32" x14ac:dyDescent="0.35">
      <c r="D208" s="11" t="s">
        <v>171</v>
      </c>
      <c r="E208">
        <v>5</v>
      </c>
      <c r="F208">
        <v>141.6</v>
      </c>
      <c r="G208">
        <v>3.8535999938964842</v>
      </c>
      <c r="H208">
        <v>3.5900000000000001E-2</v>
      </c>
      <c r="I208">
        <v>3.5329999999999999</v>
      </c>
      <c r="J208">
        <v>3.681</v>
      </c>
      <c r="K208">
        <v>0.2733739860191346</v>
      </c>
      <c r="L208">
        <v>0.52229822854995733</v>
      </c>
      <c r="M208">
        <v>0.8105</v>
      </c>
      <c r="N208">
        <v>0.24170182783699037</v>
      </c>
      <c r="O208">
        <v>0.3522735025939942</v>
      </c>
      <c r="P208">
        <v>0.1063055235438346</v>
      </c>
      <c r="Q208">
        <v>0.24850501841735842</v>
      </c>
      <c r="S208" t="s">
        <v>171</v>
      </c>
      <c r="T208">
        <v>5</v>
      </c>
      <c r="U208">
        <v>141.6</v>
      </c>
      <c r="V208">
        <v>3.8535999938964842</v>
      </c>
      <c r="W208">
        <v>3.5900000000000001E-2</v>
      </c>
      <c r="X208">
        <v>3.5329999999999999</v>
      </c>
      <c r="Y208">
        <v>3.681</v>
      </c>
      <c r="Z208">
        <v>0.2733739860191346</v>
      </c>
      <c r="AA208">
        <v>0.52229822854995733</v>
      </c>
      <c r="AB208">
        <v>0.8105</v>
      </c>
      <c r="AC208">
        <v>0.24170182783699037</v>
      </c>
      <c r="AD208">
        <v>0.3522735025939942</v>
      </c>
      <c r="AE208">
        <v>0.1063055235438346</v>
      </c>
      <c r="AF208">
        <v>0.24850501841735842</v>
      </c>
    </row>
    <row r="209" spans="4:32" x14ac:dyDescent="0.35">
      <c r="D209" s="11" t="s">
        <v>140</v>
      </c>
      <c r="E209">
        <v>5</v>
      </c>
      <c r="F209">
        <v>139</v>
      </c>
      <c r="G209">
        <v>3.8655999851226803</v>
      </c>
      <c r="H209">
        <v>7.331E-2</v>
      </c>
      <c r="I209">
        <v>3.7347147977352102</v>
      </c>
      <c r="J209">
        <v>4.1630000000000003</v>
      </c>
      <c r="K209">
        <v>0.32286205257415779</v>
      </c>
      <c r="L209">
        <v>0.55969327398300173</v>
      </c>
      <c r="M209">
        <v>0.70099999999999996</v>
      </c>
      <c r="N209">
        <v>0.33574622600746162</v>
      </c>
      <c r="O209">
        <v>8.9267971465229995E-2</v>
      </c>
      <c r="P209">
        <v>0.12607642990541459</v>
      </c>
      <c r="Q209">
        <v>0.44833075617790225</v>
      </c>
      <c r="S209" t="s">
        <v>140</v>
      </c>
      <c r="T209">
        <v>5</v>
      </c>
      <c r="U209">
        <v>139</v>
      </c>
      <c r="V209">
        <v>3.8655999851226803</v>
      </c>
      <c r="W209">
        <v>7.331E-2</v>
      </c>
      <c r="X209">
        <v>3.7347147977352102</v>
      </c>
      <c r="Y209">
        <v>4.1630000000000003</v>
      </c>
      <c r="Z209">
        <v>0.32286205257415779</v>
      </c>
      <c r="AA209">
        <v>0.55969327398300173</v>
      </c>
      <c r="AB209">
        <v>0.70099999999999996</v>
      </c>
      <c r="AC209">
        <v>0.33574622600746162</v>
      </c>
      <c r="AD209">
        <v>8.9267971465229995E-2</v>
      </c>
      <c r="AE209">
        <v>0.12607642990541459</v>
      </c>
      <c r="AF209">
        <v>0.44833075617790225</v>
      </c>
    </row>
    <row r="210" spans="4:32" x14ac:dyDescent="0.35">
      <c r="D210" s="11" t="s">
        <v>126</v>
      </c>
      <c r="E210">
        <v>5</v>
      </c>
      <c r="F210">
        <v>86.2</v>
      </c>
      <c r="G210">
        <v>5.2408000465393059</v>
      </c>
      <c r="H210">
        <v>5.6480000000000002E-2</v>
      </c>
      <c r="I210">
        <v>4.75</v>
      </c>
      <c r="J210">
        <v>5.0604176685214002</v>
      </c>
      <c r="K210">
        <v>0.65643662354660037</v>
      </c>
      <c r="L210">
        <v>0.9511283262379967</v>
      </c>
      <c r="M210">
        <v>1.2204999999999999</v>
      </c>
      <c r="N210">
        <v>0.66229989598846439</v>
      </c>
      <c r="O210">
        <v>0.39662197204208383</v>
      </c>
      <c r="P210">
        <v>7.2531090509414683E-2</v>
      </c>
      <c r="Q210">
        <v>0.22277177472972859</v>
      </c>
      <c r="S210" t="s">
        <v>126</v>
      </c>
      <c r="T210">
        <v>5</v>
      </c>
      <c r="U210">
        <v>86.2</v>
      </c>
      <c r="V210">
        <v>5.2408000465393059</v>
      </c>
      <c r="W210">
        <v>5.6480000000000002E-2</v>
      </c>
      <c r="X210">
        <v>4.75</v>
      </c>
      <c r="Y210">
        <v>5.0604176685214002</v>
      </c>
      <c r="Z210">
        <v>0.65643662354660037</v>
      </c>
      <c r="AA210">
        <v>0.9511283262379967</v>
      </c>
      <c r="AB210">
        <v>1.2204999999999999</v>
      </c>
      <c r="AC210">
        <v>0.66229989598846439</v>
      </c>
      <c r="AD210">
        <v>0.39662197204208383</v>
      </c>
      <c r="AE210">
        <v>7.2531090509414683E-2</v>
      </c>
      <c r="AF210">
        <v>0.22277177472972859</v>
      </c>
    </row>
    <row r="211" spans="4:32" x14ac:dyDescent="0.35">
      <c r="D211" s="11" t="s">
        <v>92</v>
      </c>
      <c r="E211">
        <v>4</v>
      </c>
      <c r="F211">
        <v>74.75</v>
      </c>
      <c r="G211">
        <v>5.4480000000000004</v>
      </c>
      <c r="H211">
        <v>5.0509999999999999E-2</v>
      </c>
      <c r="I211">
        <v>5.3620000000000001</v>
      </c>
      <c r="J211">
        <v>5.5540000000000003</v>
      </c>
      <c r="K211">
        <v>1.4349349999999998</v>
      </c>
      <c r="L211">
        <v>0.96419499999999991</v>
      </c>
      <c r="M211">
        <v>1.2835000000000001</v>
      </c>
      <c r="N211">
        <v>1.0295125000000001</v>
      </c>
      <c r="O211">
        <v>0.51021749999999999</v>
      </c>
      <c r="P211">
        <v>0.31642749999999997</v>
      </c>
      <c r="Q211">
        <v>0.32493749999999999</v>
      </c>
      <c r="S211" t="s">
        <v>92</v>
      </c>
      <c r="T211">
        <v>4</v>
      </c>
      <c r="U211">
        <v>74.75</v>
      </c>
      <c r="V211">
        <v>5.4480000000000004</v>
      </c>
      <c r="W211">
        <v>5.0509999999999999E-2</v>
      </c>
      <c r="X211">
        <v>5.3620000000000001</v>
      </c>
      <c r="Y211">
        <v>5.5540000000000003</v>
      </c>
      <c r="Z211">
        <v>1.4349349999999998</v>
      </c>
      <c r="AA211">
        <v>0.96419499999999991</v>
      </c>
      <c r="AB211">
        <v>1.2835000000000001</v>
      </c>
      <c r="AC211">
        <v>1.0295125000000001</v>
      </c>
      <c r="AD211">
        <v>0.51021749999999999</v>
      </c>
      <c r="AE211">
        <v>0.31642749999999997</v>
      </c>
      <c r="AF211">
        <v>0.32493749999999999</v>
      </c>
    </row>
    <row r="212" spans="4:32" x14ac:dyDescent="0.35">
      <c r="D212" s="11" t="s">
        <v>222</v>
      </c>
      <c r="E212">
        <v>1</v>
      </c>
      <c r="F212">
        <v>71</v>
      </c>
      <c r="G212">
        <v>5.4720001220703098</v>
      </c>
      <c r="I212">
        <v>5.5495941731333698</v>
      </c>
      <c r="J212">
        <v>5.3944060710072499</v>
      </c>
      <c r="K212">
        <v>1.55167484283447</v>
      </c>
      <c r="L212">
        <v>1.2627909183502199</v>
      </c>
      <c r="N212">
        <v>0.943062424659729</v>
      </c>
      <c r="O212">
        <v>0.49096864461898798</v>
      </c>
      <c r="P212">
        <v>0.29393374919891402</v>
      </c>
      <c r="Q212">
        <v>0.37446579337120101</v>
      </c>
      <c r="S212" t="s">
        <v>222</v>
      </c>
      <c r="T212">
        <v>1</v>
      </c>
      <c r="U212">
        <v>71</v>
      </c>
      <c r="V212">
        <v>5.4720001220703098</v>
      </c>
      <c r="X212">
        <v>5.5495941731333698</v>
      </c>
      <c r="Y212">
        <v>5.3944060710072499</v>
      </c>
      <c r="Z212">
        <v>1.55167484283447</v>
      </c>
      <c r="AA212">
        <v>1.2627909183502199</v>
      </c>
      <c r="AC212">
        <v>0.943062424659729</v>
      </c>
      <c r="AD212">
        <v>0.49096864461898798</v>
      </c>
      <c r="AE212">
        <v>0.29393374919891402</v>
      </c>
      <c r="AF212">
        <v>0.37446579337120101</v>
      </c>
    </row>
    <row r="213" spans="4:32" x14ac:dyDescent="0.35">
      <c r="D213" s="11" t="s">
        <v>125</v>
      </c>
      <c r="E213">
        <v>5</v>
      </c>
      <c r="F213">
        <v>80.2</v>
      </c>
      <c r="G213">
        <v>5.329399976348876</v>
      </c>
      <c r="H213">
        <v>6.1069999999999999E-2</v>
      </c>
      <c r="I213">
        <v>5.056</v>
      </c>
      <c r="J213">
        <v>5.24496005430818</v>
      </c>
      <c r="K213">
        <v>1.2040743868560799</v>
      </c>
      <c r="L213">
        <v>1.1589743639755234</v>
      </c>
      <c r="M213">
        <v>1.4055</v>
      </c>
      <c r="N213">
        <v>0.73657869050598146</v>
      </c>
      <c r="O213">
        <v>0.23053670386219022</v>
      </c>
      <c r="P213">
        <v>3.0187387481927879E-2</v>
      </c>
      <c r="Q213">
        <v>8.948033248186113E-2</v>
      </c>
      <c r="S213" t="s">
        <v>125</v>
      </c>
      <c r="T213">
        <v>5</v>
      </c>
      <c r="U213">
        <v>80.2</v>
      </c>
      <c r="V213">
        <v>5.329399976348876</v>
      </c>
      <c r="W213">
        <v>6.1069999999999999E-2</v>
      </c>
      <c r="X213">
        <v>5.056</v>
      </c>
      <c r="Y213">
        <v>5.24496005430818</v>
      </c>
      <c r="Z213">
        <v>1.2040743868560799</v>
      </c>
      <c r="AA213">
        <v>1.1589743639755234</v>
      </c>
      <c r="AB213">
        <v>1.4055</v>
      </c>
      <c r="AC213">
        <v>0.73657869050598146</v>
      </c>
      <c r="AD213">
        <v>0.23053670386219022</v>
      </c>
      <c r="AE213">
        <v>3.0187387481927879E-2</v>
      </c>
      <c r="AF213">
        <v>8.948033248186113E-2</v>
      </c>
    </row>
    <row r="214" spans="4:32" x14ac:dyDescent="0.35">
      <c r="D214" s="11" t="s">
        <v>14</v>
      </c>
      <c r="E214">
        <v>5</v>
      </c>
      <c r="F214">
        <v>3.2</v>
      </c>
      <c r="G214">
        <v>7.5110000373840338</v>
      </c>
      <c r="H214">
        <v>4.8840000000000001E-2</v>
      </c>
      <c r="I214">
        <v>7.3330000000000002</v>
      </c>
      <c r="J214">
        <v>7.6689999999999996</v>
      </c>
      <c r="K214">
        <v>1.3865226040801999</v>
      </c>
      <c r="L214">
        <v>1.3986880023447668</v>
      </c>
      <c r="M214">
        <v>1.6339999999999999</v>
      </c>
      <c r="N214">
        <v>0.91774442442321791</v>
      </c>
      <c r="O214">
        <v>0.61803452706527706</v>
      </c>
      <c r="P214">
        <v>0.14014531189441681</v>
      </c>
      <c r="Q214">
        <v>0.41912404414749138</v>
      </c>
      <c r="S214" t="s">
        <v>14</v>
      </c>
      <c r="T214">
        <v>5</v>
      </c>
      <c r="U214">
        <v>3.2</v>
      </c>
      <c r="V214">
        <v>7.5110000373840338</v>
      </c>
      <c r="W214">
        <v>4.8840000000000001E-2</v>
      </c>
      <c r="X214">
        <v>7.3330000000000002</v>
      </c>
      <c r="Y214">
        <v>7.6689999999999996</v>
      </c>
      <c r="Z214">
        <v>1.3865226040801999</v>
      </c>
      <c r="AA214">
        <v>1.3986880023447668</v>
      </c>
      <c r="AB214">
        <v>1.6339999999999999</v>
      </c>
      <c r="AC214">
        <v>0.91774442442321791</v>
      </c>
      <c r="AD214">
        <v>0.61803452706527706</v>
      </c>
      <c r="AE214">
        <v>0.14014531189441681</v>
      </c>
      <c r="AF214">
        <v>0.41912404414749138</v>
      </c>
    </row>
    <row r="215" spans="4:32" x14ac:dyDescent="0.35">
      <c r="D215" s="11" t="s">
        <v>138</v>
      </c>
      <c r="E215">
        <v>5</v>
      </c>
      <c r="F215">
        <v>126</v>
      </c>
      <c r="G215">
        <v>4.2978000114440924</v>
      </c>
      <c r="H215">
        <v>2.043E-2</v>
      </c>
      <c r="I215">
        <v>4.351</v>
      </c>
      <c r="J215">
        <v>4.4569999999999999</v>
      </c>
      <c r="K215">
        <v>0.73071424962997433</v>
      </c>
      <c r="L215">
        <v>0.47619419891357434</v>
      </c>
      <c r="M215">
        <v>0.75600000000000001</v>
      </c>
      <c r="N215">
        <v>0.49892552336692819</v>
      </c>
      <c r="O215">
        <v>0.46153940099906932</v>
      </c>
      <c r="P215">
        <v>8.847337705183031E-2</v>
      </c>
      <c r="Q215">
        <v>0.22371369789218898</v>
      </c>
      <c r="S215" t="s">
        <v>138</v>
      </c>
      <c r="T215">
        <v>5</v>
      </c>
      <c r="U215">
        <v>126</v>
      </c>
      <c r="V215">
        <v>4.2978000114440924</v>
      </c>
      <c r="W215">
        <v>2.043E-2</v>
      </c>
      <c r="X215">
        <v>4.351</v>
      </c>
      <c r="Y215">
        <v>4.4569999999999999</v>
      </c>
      <c r="Z215">
        <v>0.73071424962997433</v>
      </c>
      <c r="AA215">
        <v>0.47619419891357434</v>
      </c>
      <c r="AB215">
        <v>0.75600000000000001</v>
      </c>
      <c r="AC215">
        <v>0.49892552336692819</v>
      </c>
      <c r="AD215">
        <v>0.46153940099906932</v>
      </c>
      <c r="AE215">
        <v>8.847337705183031E-2</v>
      </c>
      <c r="AF215">
        <v>0.22371369789218898</v>
      </c>
    </row>
    <row r="216" spans="4:32" x14ac:dyDescent="0.35">
      <c r="D216" s="11" t="s">
        <v>94</v>
      </c>
      <c r="E216">
        <v>5</v>
      </c>
      <c r="F216">
        <v>84.4</v>
      </c>
      <c r="G216">
        <v>5.2520000167846685</v>
      </c>
      <c r="H216">
        <v>2.596E-2</v>
      </c>
      <c r="I216">
        <v>5.2370000000000001</v>
      </c>
      <c r="J216">
        <v>5.391</v>
      </c>
      <c r="K216">
        <v>0.92096971846771236</v>
      </c>
      <c r="L216">
        <v>1.0792582330958034</v>
      </c>
      <c r="M216">
        <v>1.2090000000000001</v>
      </c>
      <c r="N216">
        <v>0.56120314410591132</v>
      </c>
      <c r="O216">
        <v>0.46616069264030457</v>
      </c>
      <c r="P216">
        <v>1.290742709809542E-2</v>
      </c>
      <c r="Q216">
        <v>0.53485291758728015</v>
      </c>
      <c r="S216" t="s">
        <v>94</v>
      </c>
      <c r="T216">
        <v>5</v>
      </c>
      <c r="U216">
        <v>84.4</v>
      </c>
      <c r="V216">
        <v>5.2520000167846685</v>
      </c>
      <c r="W216">
        <v>2.596E-2</v>
      </c>
      <c r="X216">
        <v>5.2370000000000001</v>
      </c>
      <c r="Y216">
        <v>5.391</v>
      </c>
      <c r="Z216">
        <v>0.92096971846771236</v>
      </c>
      <c r="AA216">
        <v>1.0792582330958034</v>
      </c>
      <c r="AB216">
        <v>1.2090000000000001</v>
      </c>
      <c r="AC216">
        <v>0.56120314410591132</v>
      </c>
      <c r="AD216">
        <v>0.46616069264030457</v>
      </c>
      <c r="AE216">
        <v>1.290742709809542E-2</v>
      </c>
      <c r="AF216">
        <v>0.53485291758728015</v>
      </c>
    </row>
    <row r="217" spans="4:32" x14ac:dyDescent="0.35">
      <c r="D217" s="11" t="s">
        <v>131</v>
      </c>
      <c r="E217">
        <v>5</v>
      </c>
      <c r="F217">
        <v>109.2</v>
      </c>
      <c r="G217">
        <v>4.6891999824523918</v>
      </c>
      <c r="H217">
        <v>4.4490000000000002E-2</v>
      </c>
      <c r="I217">
        <v>4.7030000000000003</v>
      </c>
      <c r="J217">
        <v>4.923</v>
      </c>
      <c r="K217">
        <v>1.0884506213912961</v>
      </c>
      <c r="L217">
        <v>0.54819708300908399</v>
      </c>
      <c r="M217">
        <v>0.80649999999999999</v>
      </c>
      <c r="N217">
        <v>0.6911406377067566</v>
      </c>
      <c r="O217">
        <v>0.30781852162265777</v>
      </c>
      <c r="P217">
        <v>8.3418214699983603E-2</v>
      </c>
      <c r="Q217">
        <v>0.34109658264923104</v>
      </c>
      <c r="S217" t="s">
        <v>131</v>
      </c>
      <c r="T217">
        <v>5</v>
      </c>
      <c r="U217">
        <v>109.2</v>
      </c>
      <c r="V217">
        <v>4.6891999824523918</v>
      </c>
      <c r="W217">
        <v>4.4490000000000002E-2</v>
      </c>
      <c r="X217">
        <v>4.7030000000000003</v>
      </c>
      <c r="Y217">
        <v>4.923</v>
      </c>
      <c r="Z217">
        <v>1.0884506213912961</v>
      </c>
      <c r="AA217">
        <v>0.54819708300908399</v>
      </c>
      <c r="AB217">
        <v>0.80649999999999999</v>
      </c>
      <c r="AC217">
        <v>0.6911406377067566</v>
      </c>
      <c r="AD217">
        <v>0.30781852162265777</v>
      </c>
      <c r="AE217">
        <v>8.3418214699983603E-2</v>
      </c>
      <c r="AF217">
        <v>0.34109658264923104</v>
      </c>
    </row>
    <row r="218" spans="4:32" x14ac:dyDescent="0.35">
      <c r="D218" s="11" t="s">
        <v>133</v>
      </c>
      <c r="E218">
        <v>5</v>
      </c>
      <c r="F218">
        <v>116.8</v>
      </c>
      <c r="G218">
        <v>4.5284000434875482</v>
      </c>
      <c r="H218">
        <v>5.2319999999999998E-2</v>
      </c>
      <c r="I218">
        <v>4.4459999999999997</v>
      </c>
      <c r="J218">
        <v>4.7039999999999997</v>
      </c>
      <c r="K218">
        <v>1.043188097091674</v>
      </c>
      <c r="L218">
        <v>0.79651773260116565</v>
      </c>
      <c r="M218">
        <v>0.97550000000000003</v>
      </c>
      <c r="N218">
        <v>0.54486209399795538</v>
      </c>
      <c r="O218">
        <v>0.21642310653877264</v>
      </c>
      <c r="P218">
        <v>0.1130911509375572</v>
      </c>
      <c r="Q218">
        <v>0.17414945280265801</v>
      </c>
      <c r="S218" t="s">
        <v>133</v>
      </c>
      <c r="T218">
        <v>5</v>
      </c>
      <c r="U218">
        <v>116.8</v>
      </c>
      <c r="V218">
        <v>4.5284000434875482</v>
      </c>
      <c r="W218">
        <v>5.2319999999999998E-2</v>
      </c>
      <c r="X218">
        <v>4.4459999999999997</v>
      </c>
      <c r="Y218">
        <v>4.7039999999999997</v>
      </c>
      <c r="Z218">
        <v>1.043188097091674</v>
      </c>
      <c r="AA218">
        <v>0.79651773260116565</v>
      </c>
      <c r="AB218">
        <v>0.97550000000000003</v>
      </c>
      <c r="AC218">
        <v>0.54486209399795538</v>
      </c>
      <c r="AD218">
        <v>0.21642310653877264</v>
      </c>
      <c r="AE218">
        <v>0.1130911509375572</v>
      </c>
      <c r="AF218">
        <v>0.17414945280265801</v>
      </c>
    </row>
    <row r="219" spans="4:32" x14ac:dyDescent="0.35">
      <c r="D219" s="11" t="s">
        <v>34</v>
      </c>
      <c r="E219">
        <v>5</v>
      </c>
      <c r="F219">
        <v>16.399999999999999</v>
      </c>
      <c r="G219">
        <v>6.964400047302246</v>
      </c>
      <c r="H219">
        <v>3.6760000000000001E-2</v>
      </c>
      <c r="I219">
        <v>6.8360000000000003</v>
      </c>
      <c r="J219">
        <v>6.9779999999999998</v>
      </c>
      <c r="K219">
        <v>1.4604153278579723</v>
      </c>
      <c r="L219">
        <v>1.3630937051137302</v>
      </c>
      <c r="M219">
        <v>1.5680000000000001</v>
      </c>
      <c r="N219">
        <v>0.87893252484893802</v>
      </c>
      <c r="O219">
        <v>0.57219206840515136</v>
      </c>
      <c r="P219">
        <v>0.29979163066291803</v>
      </c>
      <c r="Q219">
        <v>0.38829966457176196</v>
      </c>
      <c r="S219" t="s">
        <v>34</v>
      </c>
      <c r="T219">
        <v>5</v>
      </c>
      <c r="U219">
        <v>16.399999999999999</v>
      </c>
      <c r="V219">
        <v>6.964400047302246</v>
      </c>
      <c r="W219">
        <v>3.6760000000000001E-2</v>
      </c>
      <c r="X219">
        <v>6.8360000000000003</v>
      </c>
      <c r="Y219">
        <v>6.9779999999999998</v>
      </c>
      <c r="Z219">
        <v>1.4604153278579723</v>
      </c>
      <c r="AA219">
        <v>1.3630937051137302</v>
      </c>
      <c r="AB219">
        <v>1.5680000000000001</v>
      </c>
      <c r="AC219">
        <v>0.87893252484893802</v>
      </c>
      <c r="AD219">
        <v>0.57219206840515136</v>
      </c>
      <c r="AE219">
        <v>0.29979163066291803</v>
      </c>
      <c r="AF219">
        <v>0.38829966457176196</v>
      </c>
    </row>
    <row r="220" spans="4:32" x14ac:dyDescent="0.35">
      <c r="D220" s="11" t="s">
        <v>25</v>
      </c>
      <c r="E220">
        <v>5</v>
      </c>
      <c r="F220">
        <v>13</v>
      </c>
      <c r="G220">
        <v>7.142199964141847</v>
      </c>
      <c r="H220">
        <v>3.4700000000000002E-2</v>
      </c>
      <c r="I220">
        <v>7.1989999999999998</v>
      </c>
      <c r="J220">
        <v>7.335</v>
      </c>
      <c r="K220">
        <v>1.303722484680176</v>
      </c>
      <c r="L220">
        <v>1.1985299879074101</v>
      </c>
      <c r="M220">
        <v>1.5070000000000001</v>
      </c>
      <c r="N220">
        <v>0.90268879996108997</v>
      </c>
      <c r="O220">
        <v>0.41749972076606756</v>
      </c>
      <c r="P220">
        <v>0.12087442001199722</v>
      </c>
      <c r="Q220">
        <v>0.3199365309906006</v>
      </c>
      <c r="S220" t="s">
        <v>25</v>
      </c>
      <c r="T220">
        <v>5</v>
      </c>
      <c r="U220">
        <v>13</v>
      </c>
      <c r="V220">
        <v>7.142199964141847</v>
      </c>
      <c r="W220">
        <v>3.4700000000000002E-2</v>
      </c>
      <c r="X220">
        <v>7.1989999999999998</v>
      </c>
      <c r="Y220">
        <v>7.335</v>
      </c>
      <c r="Z220">
        <v>1.303722484680176</v>
      </c>
      <c r="AA220">
        <v>1.1985299879074101</v>
      </c>
      <c r="AB220">
        <v>1.5070000000000001</v>
      </c>
      <c r="AC220">
        <v>0.90268879996108997</v>
      </c>
      <c r="AD220">
        <v>0.41749972076606756</v>
      </c>
      <c r="AE220">
        <v>0.12087442001199722</v>
      </c>
      <c r="AF220">
        <v>0.3199365309906006</v>
      </c>
    </row>
    <row r="221" spans="4:32" x14ac:dyDescent="0.35">
      <c r="D221" s="11" t="s">
        <v>69</v>
      </c>
      <c r="E221">
        <v>5</v>
      </c>
      <c r="F221">
        <v>46.2</v>
      </c>
      <c r="G221">
        <v>6.0224000450134278</v>
      </c>
      <c r="H221">
        <v>3.9140000000000001E-2</v>
      </c>
      <c r="I221">
        <v>5.8979999999999997</v>
      </c>
      <c r="J221">
        <v>6.056</v>
      </c>
      <c r="K221">
        <v>1.3118313237838741</v>
      </c>
      <c r="L221">
        <v>1.2281210938898734</v>
      </c>
      <c r="M221">
        <v>1.4944999999999999</v>
      </c>
      <c r="N221">
        <v>0.92872486953353872</v>
      </c>
      <c r="O221">
        <v>0.2438161425361634</v>
      </c>
      <c r="P221">
        <v>2.811961828315258E-2</v>
      </c>
      <c r="Q221">
        <v>0.17257192963504803</v>
      </c>
      <c r="S221" t="s">
        <v>69</v>
      </c>
      <c r="T221">
        <v>5</v>
      </c>
      <c r="U221">
        <v>46.2</v>
      </c>
      <c r="V221">
        <v>6.0224000450134278</v>
      </c>
      <c r="W221">
        <v>3.9140000000000001E-2</v>
      </c>
      <c r="X221">
        <v>5.8979999999999997</v>
      </c>
      <c r="Y221">
        <v>6.056</v>
      </c>
      <c r="Z221">
        <v>1.3118313237838741</v>
      </c>
      <c r="AA221">
        <v>1.2281210938898734</v>
      </c>
      <c r="AB221">
        <v>1.4944999999999999</v>
      </c>
      <c r="AC221">
        <v>0.92872486953353872</v>
      </c>
      <c r="AD221">
        <v>0.2438161425361634</v>
      </c>
      <c r="AE221">
        <v>2.811961828315258E-2</v>
      </c>
      <c r="AF221">
        <v>0.17257192963504803</v>
      </c>
    </row>
    <row r="222" spans="4:32" x14ac:dyDescent="0.35">
      <c r="D222" s="11" t="s">
        <v>172</v>
      </c>
      <c r="E222">
        <v>5</v>
      </c>
      <c r="F222">
        <v>124.8</v>
      </c>
      <c r="G222">
        <v>4.2731999656677235</v>
      </c>
      <c r="H222">
        <v>5.1409999999999997E-2</v>
      </c>
      <c r="I222">
        <v>3.8260000000000001</v>
      </c>
      <c r="J222">
        <v>4.0848170934617496</v>
      </c>
      <c r="K222">
        <v>0.54669178412628183</v>
      </c>
      <c r="L222">
        <v>0.75056334341684972</v>
      </c>
      <c r="M222">
        <v>0.84000000000000008</v>
      </c>
      <c r="N222">
        <v>0.11145043393683433</v>
      </c>
      <c r="O222">
        <v>0.42839923854637141</v>
      </c>
      <c r="P222">
        <v>0.1315163550891876</v>
      </c>
      <c r="Q222">
        <v>0.18125349398231499</v>
      </c>
      <c r="S222" t="s">
        <v>172</v>
      </c>
      <c r="T222">
        <v>5</v>
      </c>
      <c r="U222">
        <v>124.8</v>
      </c>
      <c r="V222">
        <v>4.2731999656677235</v>
      </c>
      <c r="W222">
        <v>5.1409999999999997E-2</v>
      </c>
      <c r="X222">
        <v>3.8260000000000001</v>
      </c>
      <c r="Y222">
        <v>4.0848170934617496</v>
      </c>
      <c r="Z222">
        <v>0.54669178412628183</v>
      </c>
      <c r="AA222">
        <v>0.75056334341684972</v>
      </c>
      <c r="AB222">
        <v>0.84000000000000008</v>
      </c>
      <c r="AC222">
        <v>0.11145043393683433</v>
      </c>
      <c r="AD222">
        <v>0.42839923854637141</v>
      </c>
      <c r="AE222">
        <v>0.1315163550891876</v>
      </c>
      <c r="AF222">
        <v>0.18125349398231499</v>
      </c>
    </row>
    <row r="223" spans="4:32" x14ac:dyDescent="0.35">
      <c r="D223" s="11" t="s">
        <v>84</v>
      </c>
      <c r="E223">
        <v>5</v>
      </c>
      <c r="F223">
        <v>65.2</v>
      </c>
      <c r="G223">
        <v>5.6619999740600582</v>
      </c>
      <c r="H223">
        <v>0.13693</v>
      </c>
      <c r="I223">
        <v>5.3150000000000004</v>
      </c>
      <c r="J223">
        <v>5.7050000000000001</v>
      </c>
      <c r="K223">
        <v>0.85585786189270008</v>
      </c>
      <c r="L223">
        <v>1.1609860214360566</v>
      </c>
      <c r="M223">
        <v>1.4855</v>
      </c>
      <c r="N223">
        <v>0.68942447683334351</v>
      </c>
      <c r="O223">
        <v>0.49593944781112675</v>
      </c>
      <c r="P223">
        <v>3.6039556203842159E-2</v>
      </c>
      <c r="Q223">
        <v>0.17431366746425619</v>
      </c>
      <c r="S223" t="s">
        <v>84</v>
      </c>
      <c r="T223">
        <v>5</v>
      </c>
      <c r="U223">
        <v>65.2</v>
      </c>
      <c r="V223">
        <v>5.6619999740600582</v>
      </c>
      <c r="W223">
        <v>0.13693</v>
      </c>
      <c r="X223">
        <v>5.3150000000000004</v>
      </c>
      <c r="Y223">
        <v>5.7050000000000001</v>
      </c>
      <c r="Z223">
        <v>0.85585786189270008</v>
      </c>
      <c r="AA223">
        <v>1.1609860214360566</v>
      </c>
      <c r="AB223">
        <v>1.4855</v>
      </c>
      <c r="AC223">
        <v>0.68942447683334351</v>
      </c>
      <c r="AD223">
        <v>0.49593944781112675</v>
      </c>
      <c r="AE223">
        <v>3.6039556203842159E-2</v>
      </c>
      <c r="AF223">
        <v>0.17431366746425619</v>
      </c>
    </row>
    <row r="224" spans="4:32" x14ac:dyDescent="0.35">
      <c r="D224" s="11" t="s">
        <v>65</v>
      </c>
      <c r="E224">
        <v>5</v>
      </c>
      <c r="F224">
        <v>52.4</v>
      </c>
      <c r="G224">
        <v>5.9258000152587895</v>
      </c>
      <c r="H224">
        <v>3.5810000000000002E-2</v>
      </c>
      <c r="I224">
        <v>5.85</v>
      </c>
      <c r="J224">
        <v>5.992</v>
      </c>
      <c r="K224">
        <v>1.3377450356597902</v>
      </c>
      <c r="L224">
        <v>1.2513326095453901</v>
      </c>
      <c r="M224">
        <v>1.4405000000000001</v>
      </c>
      <c r="N224">
        <v>0.97909917421722414</v>
      </c>
      <c r="O224">
        <v>0.49347710919570914</v>
      </c>
      <c r="P224">
        <v>0.16484214731693261</v>
      </c>
      <c r="Q224">
        <v>9.5572553630352011E-2</v>
      </c>
      <c r="S224" t="s">
        <v>65</v>
      </c>
      <c r="T224">
        <v>5</v>
      </c>
      <c r="U224">
        <v>52.4</v>
      </c>
      <c r="V224">
        <v>5.9258000152587895</v>
      </c>
      <c r="W224">
        <v>3.5810000000000002E-2</v>
      </c>
      <c r="X224">
        <v>5.85</v>
      </c>
      <c r="Y224">
        <v>5.992</v>
      </c>
      <c r="Z224">
        <v>1.3377450356597902</v>
      </c>
      <c r="AA224">
        <v>1.2513326095453901</v>
      </c>
      <c r="AB224">
        <v>1.4405000000000001</v>
      </c>
      <c r="AC224">
        <v>0.97909917421722414</v>
      </c>
      <c r="AD224">
        <v>0.49347710919570914</v>
      </c>
      <c r="AE224">
        <v>0.16484214731693261</v>
      </c>
      <c r="AF224">
        <v>9.5572553630352011E-2</v>
      </c>
    </row>
    <row r="225" spans="4:32" x14ac:dyDescent="0.35">
      <c r="D225" s="11" t="s">
        <v>103</v>
      </c>
      <c r="E225">
        <v>5</v>
      </c>
      <c r="F225">
        <v>85.4</v>
      </c>
      <c r="G225">
        <v>5.1795999931335448</v>
      </c>
      <c r="H225">
        <v>4.5240000000000002E-2</v>
      </c>
      <c r="I225">
        <v>5.1870000000000003</v>
      </c>
      <c r="J225">
        <v>5.4189999999999996</v>
      </c>
      <c r="K225">
        <v>0.90974447888565046</v>
      </c>
      <c r="L225">
        <v>1.0517229643122368</v>
      </c>
      <c r="M225">
        <v>1.2450000000000001</v>
      </c>
      <c r="N225">
        <v>0.67362001166534413</v>
      </c>
      <c r="O225">
        <v>0.40725222985076898</v>
      </c>
      <c r="P225">
        <v>0.13194065443754202</v>
      </c>
      <c r="Q225">
        <v>0.13306409204483038</v>
      </c>
      <c r="S225" t="s">
        <v>103</v>
      </c>
      <c r="T225">
        <v>5</v>
      </c>
      <c r="U225">
        <v>85.4</v>
      </c>
      <c r="V225">
        <v>5.1795999931335448</v>
      </c>
      <c r="W225">
        <v>4.5240000000000002E-2</v>
      </c>
      <c r="X225">
        <v>5.1870000000000003</v>
      </c>
      <c r="Y225">
        <v>5.4189999999999996</v>
      </c>
      <c r="Z225">
        <v>0.90974447888565046</v>
      </c>
      <c r="AA225">
        <v>1.0517229643122368</v>
      </c>
      <c r="AB225">
        <v>1.2450000000000001</v>
      </c>
      <c r="AC225">
        <v>0.67362001166534413</v>
      </c>
      <c r="AD225">
        <v>0.40725222985076898</v>
      </c>
      <c r="AE225">
        <v>0.13194065443754202</v>
      </c>
      <c r="AF225">
        <v>0.13306409204483038</v>
      </c>
    </row>
    <row r="226" spans="4:32" x14ac:dyDescent="0.35">
      <c r="D226" s="11" t="s">
        <v>73</v>
      </c>
      <c r="E226">
        <v>5</v>
      </c>
      <c r="F226">
        <v>57.6</v>
      </c>
      <c r="G226">
        <v>5.8383999534606943</v>
      </c>
      <c r="H226">
        <v>4.1140000000000003E-2</v>
      </c>
      <c r="I226">
        <v>5.8369999999999997</v>
      </c>
      <c r="J226">
        <v>6.0010000000000003</v>
      </c>
      <c r="K226">
        <v>1.1905052539291381</v>
      </c>
      <c r="L226">
        <v>1.15407300523122</v>
      </c>
      <c r="M226">
        <v>1.512</v>
      </c>
      <c r="N226">
        <v>0.63671631012725849</v>
      </c>
      <c r="O226">
        <v>0.44462885664749141</v>
      </c>
      <c r="P226">
        <v>0.10642857727718361</v>
      </c>
      <c r="Q226">
        <v>0.15286888461208342</v>
      </c>
      <c r="S226" t="s">
        <v>73</v>
      </c>
      <c r="T226">
        <v>5</v>
      </c>
      <c r="U226">
        <v>57.6</v>
      </c>
      <c r="V226">
        <v>5.8383999534606943</v>
      </c>
      <c r="W226">
        <v>4.1140000000000003E-2</v>
      </c>
      <c r="X226">
        <v>5.8369999999999997</v>
      </c>
      <c r="Y226">
        <v>6.0010000000000003</v>
      </c>
      <c r="Z226">
        <v>1.1905052539291381</v>
      </c>
      <c r="AA226">
        <v>1.15407300523122</v>
      </c>
      <c r="AB226">
        <v>1.512</v>
      </c>
      <c r="AC226">
        <v>0.63671631012725849</v>
      </c>
      <c r="AD226">
        <v>0.44462885664749141</v>
      </c>
      <c r="AE226">
        <v>0.10642857727718361</v>
      </c>
      <c r="AF226">
        <v>0.15286888461208342</v>
      </c>
    </row>
    <row r="227" spans="4:32" x14ac:dyDescent="0.35">
      <c r="D227" s="11" t="s">
        <v>146</v>
      </c>
      <c r="E227">
        <v>5</v>
      </c>
      <c r="F227">
        <v>120.8</v>
      </c>
      <c r="G227">
        <v>4.4493999946594238</v>
      </c>
      <c r="H227">
        <v>4.734E-2</v>
      </c>
      <c r="I227">
        <v>4.2590000000000003</v>
      </c>
      <c r="J227">
        <v>4.4530000000000003</v>
      </c>
      <c r="K227">
        <v>0.49057189242935173</v>
      </c>
      <c r="L227">
        <v>0.94303690851847322</v>
      </c>
      <c r="M227">
        <v>1.0155000000000001</v>
      </c>
      <c r="N227">
        <v>0.41216166993522646</v>
      </c>
      <c r="O227">
        <v>0.44313475321006779</v>
      </c>
      <c r="P227">
        <v>5.9578263843059545E-2</v>
      </c>
      <c r="Q227">
        <v>0.39151206187248216</v>
      </c>
      <c r="S227" t="s">
        <v>146</v>
      </c>
      <c r="T227">
        <v>5</v>
      </c>
      <c r="U227">
        <v>120.8</v>
      </c>
      <c r="V227">
        <v>4.4493999946594238</v>
      </c>
      <c r="W227">
        <v>4.734E-2</v>
      </c>
      <c r="X227">
        <v>4.2590000000000003</v>
      </c>
      <c r="Y227">
        <v>4.4530000000000003</v>
      </c>
      <c r="Z227">
        <v>0.49057189242935173</v>
      </c>
      <c r="AA227">
        <v>0.94303690851847322</v>
      </c>
      <c r="AB227">
        <v>1.0155000000000001</v>
      </c>
      <c r="AC227">
        <v>0.41216166993522646</v>
      </c>
      <c r="AD227">
        <v>0.44313475321006779</v>
      </c>
      <c r="AE227">
        <v>5.9578263843059545E-2</v>
      </c>
      <c r="AF227">
        <v>0.39151206187248216</v>
      </c>
    </row>
    <row r="228" spans="4:32" x14ac:dyDescent="0.35">
      <c r="D228" s="11" t="s">
        <v>88</v>
      </c>
      <c r="E228">
        <v>5</v>
      </c>
      <c r="F228">
        <v>67.2</v>
      </c>
      <c r="G228">
        <v>5.6061999610900886</v>
      </c>
      <c r="H228">
        <v>5.0180000000000002E-2</v>
      </c>
      <c r="I228">
        <v>5.3079999999999998</v>
      </c>
      <c r="J228">
        <v>5.4939999999999998</v>
      </c>
      <c r="K228">
        <v>0.87828287643051139</v>
      </c>
      <c r="L228">
        <v>0.87015116774240997</v>
      </c>
      <c r="M228">
        <v>1.2309999999999999</v>
      </c>
      <c r="N228">
        <v>0.60975441004180897</v>
      </c>
      <c r="O228">
        <v>0.31774758810043335</v>
      </c>
      <c r="P228">
        <v>3.9870323611259459E-2</v>
      </c>
      <c r="Q228">
        <v>0.28379028950119023</v>
      </c>
      <c r="S228" t="s">
        <v>88</v>
      </c>
      <c r="T228">
        <v>5</v>
      </c>
      <c r="U228">
        <v>67.2</v>
      </c>
      <c r="V228">
        <v>5.6061999610900886</v>
      </c>
      <c r="W228">
        <v>5.0180000000000002E-2</v>
      </c>
      <c r="X228">
        <v>5.3079999999999998</v>
      </c>
      <c r="Y228">
        <v>5.4939999999999998</v>
      </c>
      <c r="Z228">
        <v>0.87828287643051139</v>
      </c>
      <c r="AA228">
        <v>0.87015116774240997</v>
      </c>
      <c r="AB228">
        <v>1.2309999999999999</v>
      </c>
      <c r="AC228">
        <v>0.60975441004180897</v>
      </c>
      <c r="AD228">
        <v>0.31774758810043335</v>
      </c>
      <c r="AE228">
        <v>3.9870323611259459E-2</v>
      </c>
      <c r="AF228">
        <v>0.28379028950119023</v>
      </c>
    </row>
    <row r="229" spans="4:32" x14ac:dyDescent="0.35">
      <c r="D229" s="11" t="s">
        <v>58</v>
      </c>
      <c r="E229">
        <v>5</v>
      </c>
      <c r="F229">
        <v>43</v>
      </c>
      <c r="G229">
        <v>6.148600003814698</v>
      </c>
      <c r="H229">
        <v>4.4560000000000002E-2</v>
      </c>
      <c r="I229">
        <v>6.1539999999999999</v>
      </c>
      <c r="J229">
        <v>6.3239999999999998</v>
      </c>
      <c r="K229">
        <v>1.555662490341186</v>
      </c>
      <c r="L229">
        <v>1.1010729161961867</v>
      </c>
      <c r="M229">
        <v>1.31</v>
      </c>
      <c r="N229">
        <v>0.69514314162445046</v>
      </c>
      <c r="O229">
        <v>0.50599751852035524</v>
      </c>
      <c r="P229">
        <v>0.18218791006183618</v>
      </c>
      <c r="Q229">
        <v>0.1718439595804214</v>
      </c>
      <c r="S229" t="s">
        <v>58</v>
      </c>
      <c r="T229">
        <v>5</v>
      </c>
      <c r="U229">
        <v>43</v>
      </c>
      <c r="V229">
        <v>6.148600003814698</v>
      </c>
      <c r="W229">
        <v>4.4560000000000002E-2</v>
      </c>
      <c r="X229">
        <v>6.1539999999999999</v>
      </c>
      <c r="Y229">
        <v>6.3239999999999998</v>
      </c>
      <c r="Z229">
        <v>1.555662490341186</v>
      </c>
      <c r="AA229">
        <v>1.1010729161961867</v>
      </c>
      <c r="AB229">
        <v>1.31</v>
      </c>
      <c r="AC229">
        <v>0.69514314162445046</v>
      </c>
      <c r="AD229">
        <v>0.50599751852035524</v>
      </c>
      <c r="AE229">
        <v>0.18218791006183618</v>
      </c>
      <c r="AF229">
        <v>0.1718439595804214</v>
      </c>
    </row>
    <row r="230" spans="4:32" x14ac:dyDescent="0.35">
      <c r="D230" s="11" t="s">
        <v>97</v>
      </c>
      <c r="E230">
        <v>5</v>
      </c>
      <c r="F230">
        <v>87.6</v>
      </c>
      <c r="G230">
        <v>5.1734000373840336</v>
      </c>
      <c r="H230">
        <v>3.823E-2</v>
      </c>
      <c r="I230">
        <v>5.0899199031293403</v>
      </c>
      <c r="J230">
        <v>5.2670000000000003</v>
      </c>
      <c r="K230">
        <v>0.54238801521682745</v>
      </c>
      <c r="L230">
        <v>1.1665761970647166</v>
      </c>
      <c r="M230">
        <v>1.427</v>
      </c>
      <c r="N230">
        <v>0.61516555931472783</v>
      </c>
      <c r="O230">
        <v>0.46796667774009693</v>
      </c>
      <c r="P230">
        <v>3.7475835800647742E-2</v>
      </c>
      <c r="Q230">
        <v>0.33884007470512401</v>
      </c>
      <c r="S230" t="s">
        <v>97</v>
      </c>
      <c r="T230">
        <v>5</v>
      </c>
      <c r="U230">
        <v>87.6</v>
      </c>
      <c r="V230">
        <v>5.1734000373840336</v>
      </c>
      <c r="W230">
        <v>3.823E-2</v>
      </c>
      <c r="X230">
        <v>5.0899199031293403</v>
      </c>
      <c r="Y230">
        <v>5.2670000000000003</v>
      </c>
      <c r="Z230">
        <v>0.54238801521682745</v>
      </c>
      <c r="AA230">
        <v>1.1665761970647166</v>
      </c>
      <c r="AB230">
        <v>1.427</v>
      </c>
      <c r="AC230">
        <v>0.61516555931472783</v>
      </c>
      <c r="AD230">
        <v>0.46796667774009693</v>
      </c>
      <c r="AE230">
        <v>3.7475835800647742E-2</v>
      </c>
      <c r="AF230">
        <v>0.33884007470512401</v>
      </c>
    </row>
    <row r="231" spans="4:32" x14ac:dyDescent="0.35">
      <c r="D231" s="11" t="s">
        <v>120</v>
      </c>
      <c r="E231">
        <v>4</v>
      </c>
      <c r="F231">
        <v>104</v>
      </c>
      <c r="G231">
        <v>4.7927499999999998</v>
      </c>
      <c r="H231">
        <v>6.6979999999999998E-2</v>
      </c>
      <c r="I231">
        <v>4.742</v>
      </c>
      <c r="J231">
        <v>5.01</v>
      </c>
      <c r="K231">
        <v>0.68876999999999999</v>
      </c>
      <c r="L231">
        <v>0.64386499999999991</v>
      </c>
      <c r="M231">
        <v>1.032</v>
      </c>
      <c r="N231">
        <v>0.48099999999999998</v>
      </c>
      <c r="O231">
        <v>0.57264750000000009</v>
      </c>
      <c r="P231">
        <v>0.20118</v>
      </c>
      <c r="Q231">
        <v>0.33717750000000002</v>
      </c>
      <c r="S231" t="s">
        <v>120</v>
      </c>
      <c r="T231">
        <v>4</v>
      </c>
      <c r="U231">
        <v>104</v>
      </c>
      <c r="V231">
        <v>4.7927499999999998</v>
      </c>
      <c r="W231">
        <v>6.6979999999999998E-2</v>
      </c>
      <c r="X231">
        <v>4.742</v>
      </c>
      <c r="Y231">
        <v>5.01</v>
      </c>
      <c r="Z231">
        <v>0.68876999999999999</v>
      </c>
      <c r="AA231">
        <v>0.64386499999999991</v>
      </c>
      <c r="AB231">
        <v>1.032</v>
      </c>
      <c r="AC231">
        <v>0.48099999999999998</v>
      </c>
      <c r="AD231">
        <v>0.57264750000000009</v>
      </c>
      <c r="AE231">
        <v>0.20118</v>
      </c>
      <c r="AF231">
        <v>0.33717750000000002</v>
      </c>
    </row>
    <row r="232" spans="4:32" x14ac:dyDescent="0.35">
      <c r="D232" s="11" t="s">
        <v>110</v>
      </c>
      <c r="E232">
        <v>5</v>
      </c>
      <c r="F232">
        <v>63.4</v>
      </c>
      <c r="G232">
        <v>5.6761999809265138</v>
      </c>
      <c r="H232">
        <v>4.6399999999999997E-2</v>
      </c>
      <c r="I232">
        <v>5.4859999999999998</v>
      </c>
      <c r="J232">
        <v>5.77973627105355</v>
      </c>
      <c r="K232">
        <v>1.1853497249603282</v>
      </c>
      <c r="L232">
        <v>1.1501949806594833</v>
      </c>
      <c r="M232">
        <v>1.4595</v>
      </c>
      <c r="N232">
        <v>0.69709139416503907</v>
      </c>
      <c r="O232">
        <v>0.30587558248901359</v>
      </c>
      <c r="P232">
        <v>7.1212545329570789E-2</v>
      </c>
      <c r="Q232">
        <v>0.13535695721340177</v>
      </c>
      <c r="S232" t="s">
        <v>110</v>
      </c>
      <c r="T232">
        <v>5</v>
      </c>
      <c r="U232">
        <v>63.4</v>
      </c>
      <c r="V232">
        <v>5.6761999809265138</v>
      </c>
      <c r="W232">
        <v>4.6399999999999997E-2</v>
      </c>
      <c r="X232">
        <v>5.4859999999999998</v>
      </c>
      <c r="Y232">
        <v>5.77973627105355</v>
      </c>
      <c r="Z232">
        <v>1.1853497249603282</v>
      </c>
      <c r="AA232">
        <v>1.1501949806594833</v>
      </c>
      <c r="AB232">
        <v>1.4595</v>
      </c>
      <c r="AC232">
        <v>0.69709139416503907</v>
      </c>
      <c r="AD232">
        <v>0.30587558248901359</v>
      </c>
      <c r="AE232">
        <v>7.1212545329570789E-2</v>
      </c>
      <c r="AF232">
        <v>0.13535695721340177</v>
      </c>
    </row>
    <row r="233" spans="4:32" x14ac:dyDescent="0.35">
      <c r="D233" s="11" t="s">
        <v>124</v>
      </c>
      <c r="E233">
        <v>5</v>
      </c>
      <c r="F233">
        <v>91</v>
      </c>
      <c r="G233">
        <v>5.1495999809265136</v>
      </c>
      <c r="H233">
        <v>4.3369999999999999E-2</v>
      </c>
      <c r="I233">
        <v>5.0309999999999997</v>
      </c>
      <c r="J233">
        <v>5.2270000000000003</v>
      </c>
      <c r="K233">
        <v>1.0350615061416621</v>
      </c>
      <c r="L233">
        <v>0.85715808251698666</v>
      </c>
      <c r="M233">
        <v>1.2015</v>
      </c>
      <c r="N233">
        <v>0.78725221532440182</v>
      </c>
      <c r="O233">
        <v>0.32179119700241077</v>
      </c>
      <c r="P233">
        <v>5.5388765953540808E-2</v>
      </c>
      <c r="Q233">
        <v>0.21998415173912039</v>
      </c>
      <c r="S233" t="s">
        <v>124</v>
      </c>
      <c r="T233">
        <v>5</v>
      </c>
      <c r="U233">
        <v>91</v>
      </c>
      <c r="V233">
        <v>5.1495999809265136</v>
      </c>
      <c r="W233">
        <v>4.3369999999999999E-2</v>
      </c>
      <c r="X233">
        <v>5.0309999999999997</v>
      </c>
      <c r="Y233">
        <v>5.2270000000000003</v>
      </c>
      <c r="Z233">
        <v>1.0350615061416621</v>
      </c>
      <c r="AA233">
        <v>0.85715808251698666</v>
      </c>
      <c r="AB233">
        <v>1.2015</v>
      </c>
      <c r="AC233">
        <v>0.78725221532440182</v>
      </c>
      <c r="AD233">
        <v>0.32179119700241077</v>
      </c>
      <c r="AE233">
        <v>5.5388765953540808E-2</v>
      </c>
      <c r="AF233">
        <v>0.21998415173912039</v>
      </c>
    </row>
    <row r="234" spans="4:32" x14ac:dyDescent="0.35">
      <c r="D234" s="11" t="s">
        <v>118</v>
      </c>
      <c r="E234">
        <v>4</v>
      </c>
      <c r="F234">
        <v>130.25</v>
      </c>
      <c r="G234">
        <v>4.0790000219345099</v>
      </c>
      <c r="H234">
        <v>9.4380000000000006E-2</v>
      </c>
      <c r="I234">
        <v>4.0443439754843702</v>
      </c>
      <c r="J234">
        <v>3.5716561999917</v>
      </c>
      <c r="K234">
        <v>0.46436781172752373</v>
      </c>
      <c r="L234">
        <v>1.1155625931167599</v>
      </c>
      <c r="M234">
        <v>1.1920000000000002</v>
      </c>
      <c r="N234">
        <v>8.0779999999999991E-2</v>
      </c>
      <c r="O234">
        <v>0.37258282480716698</v>
      </c>
      <c r="P234">
        <v>0.112283660004139</v>
      </c>
      <c r="Q234">
        <v>0.13609431797385224</v>
      </c>
      <c r="S234" t="s">
        <v>118</v>
      </c>
      <c r="T234">
        <v>4</v>
      </c>
      <c r="U234">
        <v>130.25</v>
      </c>
      <c r="V234">
        <v>4.0790000219345099</v>
      </c>
      <c r="W234">
        <v>9.4380000000000006E-2</v>
      </c>
      <c r="X234">
        <v>4.0443439754843702</v>
      </c>
      <c r="Y234">
        <v>3.5716561999917</v>
      </c>
      <c r="Z234">
        <v>0.46436781172752373</v>
      </c>
      <c r="AA234">
        <v>1.1155625931167599</v>
      </c>
      <c r="AB234">
        <v>1.1920000000000002</v>
      </c>
      <c r="AC234">
        <v>8.0779999999999991E-2</v>
      </c>
      <c r="AD234">
        <v>0.37258282480716698</v>
      </c>
      <c r="AE234">
        <v>0.112283660004139</v>
      </c>
      <c r="AF234">
        <v>0.13609431797385224</v>
      </c>
    </row>
    <row r="235" spans="4:32" x14ac:dyDescent="0.35">
      <c r="D235" s="11" t="s">
        <v>137</v>
      </c>
      <c r="E235">
        <v>5</v>
      </c>
      <c r="F235">
        <v>140.80000000000001</v>
      </c>
      <c r="G235">
        <v>3.8391999984741227</v>
      </c>
      <c r="H235">
        <v>0.11068</v>
      </c>
      <c r="I235">
        <v>3.4630000000000001</v>
      </c>
      <c r="J235">
        <v>3.7810000000000001</v>
      </c>
      <c r="K235">
        <v>8.9260358609676405E-2</v>
      </c>
      <c r="L235">
        <v>0.72177597887039202</v>
      </c>
      <c r="M235">
        <v>0.89</v>
      </c>
      <c r="N235">
        <v>0.30271563935947421</v>
      </c>
      <c r="O235">
        <v>0.332934236486435</v>
      </c>
      <c r="P235">
        <v>4.2557649814367299E-2</v>
      </c>
      <c r="Q235">
        <v>0.23795997705459601</v>
      </c>
      <c r="S235" t="s">
        <v>137</v>
      </c>
      <c r="T235">
        <v>5</v>
      </c>
      <c r="U235">
        <v>140.80000000000001</v>
      </c>
      <c r="V235">
        <v>3.8391999984741227</v>
      </c>
      <c r="W235">
        <v>0.11068</v>
      </c>
      <c r="X235">
        <v>3.4630000000000001</v>
      </c>
      <c r="Y235">
        <v>3.7810000000000001</v>
      </c>
      <c r="Z235">
        <v>8.9260358609676405E-2</v>
      </c>
      <c r="AA235">
        <v>0.72177597887039202</v>
      </c>
      <c r="AB235">
        <v>0.89</v>
      </c>
      <c r="AC235">
        <v>0.30271563935947421</v>
      </c>
      <c r="AD235">
        <v>0.332934236486435</v>
      </c>
      <c r="AE235">
        <v>4.2557649814367299E-2</v>
      </c>
      <c r="AF235">
        <v>0.23795997705459601</v>
      </c>
    </row>
    <row r="236" spans="4:32" x14ac:dyDescent="0.35">
      <c r="D236" s="11" t="s">
        <v>82</v>
      </c>
      <c r="E236">
        <v>5</v>
      </c>
      <c r="F236">
        <v>68</v>
      </c>
      <c r="G236">
        <v>5.5970000190734863</v>
      </c>
      <c r="H236">
        <v>7.8320000000000001E-2</v>
      </c>
      <c r="I236">
        <v>5.4059999999999997</v>
      </c>
      <c r="J236">
        <v>5.8239999999999998</v>
      </c>
      <c r="K236">
        <v>1.0658266128692619</v>
      </c>
      <c r="L236">
        <v>1.1423147767003365</v>
      </c>
      <c r="M236">
        <v>1.3265</v>
      </c>
      <c r="N236">
        <v>0.59460180393981932</v>
      </c>
      <c r="O236">
        <v>0.4402266460227966</v>
      </c>
      <c r="P236">
        <v>0.12124604203605652</v>
      </c>
      <c r="Q236">
        <v>0.15097873329067241</v>
      </c>
      <c r="S236" t="s">
        <v>82</v>
      </c>
      <c r="T236">
        <v>5</v>
      </c>
      <c r="U236">
        <v>68</v>
      </c>
      <c r="V236">
        <v>5.5970000190734863</v>
      </c>
      <c r="W236">
        <v>7.8320000000000001E-2</v>
      </c>
      <c r="X236">
        <v>5.4059999999999997</v>
      </c>
      <c r="Y236">
        <v>5.8239999999999998</v>
      </c>
      <c r="Z236">
        <v>1.0658266128692619</v>
      </c>
      <c r="AA236">
        <v>1.1423147767003365</v>
      </c>
      <c r="AB236">
        <v>1.3265</v>
      </c>
      <c r="AC236">
        <v>0.59460180393981932</v>
      </c>
      <c r="AD236">
        <v>0.4402266460227966</v>
      </c>
      <c r="AE236">
        <v>0.12124604203605652</v>
      </c>
      <c r="AF236">
        <v>0.15097873329067241</v>
      </c>
    </row>
    <row r="237" spans="4:32" x14ac:dyDescent="0.35">
      <c r="D237" s="11" t="s">
        <v>75</v>
      </c>
      <c r="E237">
        <v>5</v>
      </c>
      <c r="F237">
        <v>52</v>
      </c>
      <c r="G237">
        <v>5.9297999900817882</v>
      </c>
      <c r="H237">
        <v>3.8429999999999999E-2</v>
      </c>
      <c r="I237">
        <v>5.734</v>
      </c>
      <c r="J237">
        <v>5.8920000000000003</v>
      </c>
      <c r="K237">
        <v>1.2332024695739741</v>
      </c>
      <c r="L237">
        <v>1.2650253688685098</v>
      </c>
      <c r="M237">
        <v>1.5209999999999999</v>
      </c>
      <c r="N237">
        <v>0.70819398804092404</v>
      </c>
      <c r="O237">
        <v>0.25558835698795324</v>
      </c>
      <c r="P237">
        <v>1.767512857061624E-2</v>
      </c>
      <c r="Q237">
        <v>2.5164931335270403E-2</v>
      </c>
      <c r="S237" t="s">
        <v>75</v>
      </c>
      <c r="T237">
        <v>5</v>
      </c>
      <c r="U237">
        <v>52</v>
      </c>
      <c r="V237">
        <v>5.9297999900817882</v>
      </c>
      <c r="W237">
        <v>3.8429999999999999E-2</v>
      </c>
      <c r="X237">
        <v>5.734</v>
      </c>
      <c r="Y237">
        <v>5.8920000000000003</v>
      </c>
      <c r="Z237">
        <v>1.2332024695739741</v>
      </c>
      <c r="AA237">
        <v>1.2650253688685098</v>
      </c>
      <c r="AB237">
        <v>1.5209999999999999</v>
      </c>
      <c r="AC237">
        <v>0.70819398804092404</v>
      </c>
      <c r="AD237">
        <v>0.25558835698795324</v>
      </c>
      <c r="AE237">
        <v>1.767512857061624E-2</v>
      </c>
      <c r="AF237">
        <v>2.5164931335270403E-2</v>
      </c>
    </row>
    <row r="238" spans="4:32" x14ac:dyDescent="0.35">
      <c r="D238" s="11" t="s">
        <v>33</v>
      </c>
      <c r="E238">
        <v>5</v>
      </c>
      <c r="F238">
        <v>17.2</v>
      </c>
      <c r="G238">
        <v>6.9359999832153321</v>
      </c>
      <c r="H238">
        <v>3.499E-2</v>
      </c>
      <c r="I238">
        <v>6.8040000000000003</v>
      </c>
      <c r="J238">
        <v>6.9379999999999997</v>
      </c>
      <c r="K238">
        <v>1.637674719558716</v>
      </c>
      <c r="L238">
        <v>1.2390678886159268</v>
      </c>
      <c r="M238">
        <v>1.4995000000000001</v>
      </c>
      <c r="N238">
        <v>0.90348989903640731</v>
      </c>
      <c r="O238">
        <v>0.5838315782127379</v>
      </c>
      <c r="P238">
        <v>0.33742088480377197</v>
      </c>
      <c r="Q238">
        <v>0.24584619637489316</v>
      </c>
      <c r="S238" t="s">
        <v>33</v>
      </c>
      <c r="T238">
        <v>5</v>
      </c>
      <c r="U238">
        <v>17.2</v>
      </c>
      <c r="V238">
        <v>6.9359999832153321</v>
      </c>
      <c r="W238">
        <v>3.499E-2</v>
      </c>
      <c r="X238">
        <v>6.8040000000000003</v>
      </c>
      <c r="Y238">
        <v>6.9379999999999997</v>
      </c>
      <c r="Z238">
        <v>1.637674719558716</v>
      </c>
      <c r="AA238">
        <v>1.2390678886159268</v>
      </c>
      <c r="AB238">
        <v>1.4995000000000001</v>
      </c>
      <c r="AC238">
        <v>0.90348989903640731</v>
      </c>
      <c r="AD238">
        <v>0.5838315782127379</v>
      </c>
      <c r="AE238">
        <v>0.33742088480377197</v>
      </c>
      <c r="AF238">
        <v>0.24584619637489316</v>
      </c>
    </row>
    <row r="239" spans="4:32" x14ac:dyDescent="0.35">
      <c r="D239" s="11" t="s">
        <v>114</v>
      </c>
      <c r="E239">
        <v>4</v>
      </c>
      <c r="F239">
        <v>92.25</v>
      </c>
      <c r="G239">
        <v>5.1220000476837146</v>
      </c>
      <c r="H239">
        <v>5.3760000000000002E-2</v>
      </c>
      <c r="I239">
        <v>5.0170000000000003</v>
      </c>
      <c r="J239">
        <v>5.2249999999999996</v>
      </c>
      <c r="K239">
        <v>0.99034698428154011</v>
      </c>
      <c r="L239">
        <v>0.99752433798472007</v>
      </c>
      <c r="M239">
        <v>1.2390000000000001</v>
      </c>
      <c r="N239">
        <v>0.67969454612255098</v>
      </c>
      <c r="O239">
        <v>0.33278899466991424</v>
      </c>
      <c r="P239">
        <v>5.9004448389112951E-2</v>
      </c>
      <c r="Q239">
        <v>0.22135524091959002</v>
      </c>
      <c r="S239" t="s">
        <v>114</v>
      </c>
      <c r="T239">
        <v>4</v>
      </c>
      <c r="U239">
        <v>92.25</v>
      </c>
      <c r="V239">
        <v>5.1220000476837146</v>
      </c>
      <c r="W239">
        <v>5.3760000000000002E-2</v>
      </c>
      <c r="X239">
        <v>5.0170000000000003</v>
      </c>
      <c r="Y239">
        <v>5.2249999999999996</v>
      </c>
      <c r="Z239">
        <v>0.99034698428154011</v>
      </c>
      <c r="AA239">
        <v>0.99752433798472007</v>
      </c>
      <c r="AB239">
        <v>1.2390000000000001</v>
      </c>
      <c r="AC239">
        <v>0.67969454612255098</v>
      </c>
      <c r="AD239">
        <v>0.33278899466991424</v>
      </c>
      <c r="AE239">
        <v>5.9004448389112951E-2</v>
      </c>
      <c r="AF239">
        <v>0.22135524091959002</v>
      </c>
    </row>
    <row r="240" spans="4:32" x14ac:dyDescent="0.35">
      <c r="D240" s="11" t="s">
        <v>168</v>
      </c>
      <c r="E240">
        <v>5</v>
      </c>
      <c r="F240">
        <v>145</v>
      </c>
      <c r="G240">
        <v>3.745400010681152</v>
      </c>
      <c r="H240">
        <v>3.6330000000000001E-2</v>
      </c>
      <c r="I240">
        <v>3.621</v>
      </c>
      <c r="J240">
        <v>3.7690000000000001</v>
      </c>
      <c r="K240">
        <v>0.26591773863410939</v>
      </c>
      <c r="L240">
        <v>0.68072679079691556</v>
      </c>
      <c r="M240">
        <v>0.91200000000000003</v>
      </c>
      <c r="N240">
        <v>0.43410466176033025</v>
      </c>
      <c r="O240">
        <v>0.17737535308456417</v>
      </c>
      <c r="P240">
        <v>6.2706395099163065E-2</v>
      </c>
      <c r="Q240">
        <v>0.19329250609493259</v>
      </c>
      <c r="S240" t="s">
        <v>168</v>
      </c>
      <c r="T240">
        <v>5</v>
      </c>
      <c r="U240">
        <v>145</v>
      </c>
      <c r="V240">
        <v>3.745400010681152</v>
      </c>
      <c r="W240">
        <v>3.6330000000000001E-2</v>
      </c>
      <c r="X240">
        <v>3.621</v>
      </c>
      <c r="Y240">
        <v>3.7690000000000001</v>
      </c>
      <c r="Z240">
        <v>0.26591773863410939</v>
      </c>
      <c r="AA240">
        <v>0.68072679079691556</v>
      </c>
      <c r="AB240">
        <v>0.91200000000000003</v>
      </c>
      <c r="AC240">
        <v>0.43410466176033025</v>
      </c>
      <c r="AD240">
        <v>0.17737535308456417</v>
      </c>
      <c r="AE240">
        <v>6.2706395099163065E-2</v>
      </c>
      <c r="AF240">
        <v>0.19329250609493259</v>
      </c>
    </row>
    <row r="241" spans="4:32" x14ac:dyDescent="0.35">
      <c r="D241" s="11" t="s">
        <v>152</v>
      </c>
      <c r="E241">
        <v>5</v>
      </c>
      <c r="F241">
        <v>139.19999999999999</v>
      </c>
      <c r="G241">
        <v>3.883000005722046</v>
      </c>
      <c r="H241">
        <v>6.13E-2</v>
      </c>
      <c r="I241">
        <v>4.0410000000000004</v>
      </c>
      <c r="J241">
        <v>4.2709999999999999</v>
      </c>
      <c r="K241">
        <v>0.14271440765953064</v>
      </c>
      <c r="L241">
        <v>0.3569696104812623</v>
      </c>
      <c r="M241">
        <v>0.55049999999999999</v>
      </c>
      <c r="N241">
        <v>0.32706991667938246</v>
      </c>
      <c r="O241">
        <v>0.45715093075561519</v>
      </c>
      <c r="P241">
        <v>7.742433080148696E-2</v>
      </c>
      <c r="Q241">
        <v>0.271226093952179</v>
      </c>
      <c r="S241" t="s">
        <v>152</v>
      </c>
      <c r="T241">
        <v>5</v>
      </c>
      <c r="U241">
        <v>139.19999999999999</v>
      </c>
      <c r="V241">
        <v>3.883000005722046</v>
      </c>
      <c r="W241">
        <v>6.13E-2</v>
      </c>
      <c r="X241">
        <v>4.0410000000000004</v>
      </c>
      <c r="Y241">
        <v>4.2709999999999999</v>
      </c>
      <c r="Z241">
        <v>0.14271440765953064</v>
      </c>
      <c r="AA241">
        <v>0.3569696104812623</v>
      </c>
      <c r="AB241">
        <v>0.55049999999999999</v>
      </c>
      <c r="AC241">
        <v>0.32706991667938246</v>
      </c>
      <c r="AD241">
        <v>0.45715093075561519</v>
      </c>
      <c r="AE241">
        <v>7.742433080148696E-2</v>
      </c>
      <c r="AF241">
        <v>0.271226093952179</v>
      </c>
    </row>
    <row r="242" spans="4:32" x14ac:dyDescent="0.35">
      <c r="D242" s="11" t="s">
        <v>80</v>
      </c>
      <c r="E242">
        <v>5</v>
      </c>
      <c r="F242">
        <v>53</v>
      </c>
      <c r="G242">
        <v>5.9040000221252438</v>
      </c>
      <c r="H242">
        <v>4.3299999999999998E-2</v>
      </c>
      <c r="I242">
        <v>5.9210000000000003</v>
      </c>
      <c r="J242">
        <v>6.0890000000000004</v>
      </c>
      <c r="K242">
        <v>1.2098990839538579</v>
      </c>
      <c r="L242">
        <v>1.0783753447469067</v>
      </c>
      <c r="M242">
        <v>1.2145000000000001</v>
      </c>
      <c r="N242">
        <v>0.69267688552856432</v>
      </c>
      <c r="O242">
        <v>0.43736299649238575</v>
      </c>
      <c r="P242">
        <v>6.8884141625404363E-2</v>
      </c>
      <c r="Q242">
        <v>0.3466197859268188</v>
      </c>
      <c r="S242" t="s">
        <v>80</v>
      </c>
      <c r="T242">
        <v>5</v>
      </c>
      <c r="U242">
        <v>53</v>
      </c>
      <c r="V242">
        <v>5.9040000221252438</v>
      </c>
      <c r="W242">
        <v>4.3299999999999998E-2</v>
      </c>
      <c r="X242">
        <v>5.9210000000000003</v>
      </c>
      <c r="Y242">
        <v>6.0890000000000004</v>
      </c>
      <c r="Z242">
        <v>1.2098990839538579</v>
      </c>
      <c r="AA242">
        <v>1.0783753447469067</v>
      </c>
      <c r="AB242">
        <v>1.2145000000000001</v>
      </c>
      <c r="AC242">
        <v>0.69267688552856432</v>
      </c>
      <c r="AD242">
        <v>0.43736299649238575</v>
      </c>
      <c r="AE242">
        <v>6.8884141625404363E-2</v>
      </c>
      <c r="AF242">
        <v>0.3466197859268188</v>
      </c>
    </row>
    <row r="243" spans="4:32" x14ac:dyDescent="0.35">
      <c r="D243" s="11" t="s">
        <v>159</v>
      </c>
      <c r="E243">
        <v>5</v>
      </c>
      <c r="F243">
        <v>129.19999999999999</v>
      </c>
      <c r="G243">
        <v>4.2190000114440922</v>
      </c>
      <c r="H243">
        <v>5.602E-2</v>
      </c>
      <c r="I243">
        <v>3.988</v>
      </c>
      <c r="J243">
        <v>4.1580000000000004</v>
      </c>
      <c r="K243">
        <v>0.36096809876632696</v>
      </c>
      <c r="L243">
        <v>1.0600211327362066</v>
      </c>
      <c r="M243">
        <v>1.169</v>
      </c>
      <c r="N243">
        <v>0.19973313485145558</v>
      </c>
      <c r="O243">
        <v>0.33292474866104121</v>
      </c>
      <c r="P243">
        <v>9.4592049310684198E-2</v>
      </c>
      <c r="Q243">
        <v>0.1747948397865296</v>
      </c>
      <c r="S243" t="s">
        <v>159</v>
      </c>
      <c r="T243">
        <v>5</v>
      </c>
      <c r="U243">
        <v>129.19999999999999</v>
      </c>
      <c r="V243">
        <v>4.2190000114440922</v>
      </c>
      <c r="W243">
        <v>5.602E-2</v>
      </c>
      <c r="X243">
        <v>3.988</v>
      </c>
      <c r="Y243">
        <v>4.1580000000000004</v>
      </c>
      <c r="Z243">
        <v>0.36096809876632696</v>
      </c>
      <c r="AA243">
        <v>1.0600211327362066</v>
      </c>
      <c r="AB243">
        <v>1.169</v>
      </c>
      <c r="AC243">
        <v>0.19973313485145558</v>
      </c>
      <c r="AD243">
        <v>0.33292474866104121</v>
      </c>
      <c r="AE243">
        <v>9.4592049310684198E-2</v>
      </c>
      <c r="AF243">
        <v>0.1747948397865296</v>
      </c>
    </row>
    <row r="244" spans="4:32" x14ac:dyDescent="0.35">
      <c r="D244" s="11" t="s">
        <v>55</v>
      </c>
      <c r="E244">
        <v>5</v>
      </c>
      <c r="F244">
        <v>27.6</v>
      </c>
      <c r="G244">
        <v>6.5339999900817869</v>
      </c>
      <c r="H244">
        <v>4.206E-2</v>
      </c>
      <c r="I244">
        <v>6.4089999999999998</v>
      </c>
      <c r="J244">
        <v>6.5670000000000002</v>
      </c>
      <c r="K244">
        <v>1.2856999677124021</v>
      </c>
      <c r="L244">
        <v>1.2964105549875899</v>
      </c>
      <c r="M244">
        <v>1.5225</v>
      </c>
      <c r="N244">
        <v>0.87906084735107426</v>
      </c>
      <c r="O244">
        <v>0.59027141033935537</v>
      </c>
      <c r="P244">
        <v>0.15149321377754221</v>
      </c>
      <c r="Q244">
        <v>0.48112411501693719</v>
      </c>
      <c r="S244" t="s">
        <v>55</v>
      </c>
      <c r="T244">
        <v>5</v>
      </c>
      <c r="U244">
        <v>27.6</v>
      </c>
      <c r="V244">
        <v>6.5339999900817869</v>
      </c>
      <c r="W244">
        <v>4.206E-2</v>
      </c>
      <c r="X244">
        <v>6.4089999999999998</v>
      </c>
      <c r="Y244">
        <v>6.5670000000000002</v>
      </c>
      <c r="Z244">
        <v>1.2856999677124021</v>
      </c>
      <c r="AA244">
        <v>1.2964105549875899</v>
      </c>
      <c r="AB244">
        <v>1.5225</v>
      </c>
      <c r="AC244">
        <v>0.87906084735107426</v>
      </c>
      <c r="AD244">
        <v>0.59027141033935537</v>
      </c>
      <c r="AE244">
        <v>0.15149321377754221</v>
      </c>
      <c r="AF244">
        <v>0.48112411501693719</v>
      </c>
    </row>
    <row r="245" spans="4:32" x14ac:dyDescent="0.35">
      <c r="D245" s="11" t="s">
        <v>145</v>
      </c>
      <c r="E245">
        <v>5</v>
      </c>
      <c r="F245">
        <v>125</v>
      </c>
      <c r="G245">
        <v>4.3549999633789067</v>
      </c>
      <c r="H245">
        <v>3.9469999999999998E-2</v>
      </c>
      <c r="I245">
        <v>4.1269999999999998</v>
      </c>
      <c r="J245">
        <v>4.2750000000000004</v>
      </c>
      <c r="K245">
        <v>0.56868745774841289</v>
      </c>
      <c r="L245">
        <v>0.99417694346109986</v>
      </c>
      <c r="M245">
        <v>1.206</v>
      </c>
      <c r="N245">
        <v>0.34229585592842093</v>
      </c>
      <c r="O245">
        <v>0.13204360860490799</v>
      </c>
      <c r="P245">
        <v>0.1344234009332656</v>
      </c>
      <c r="Q245">
        <v>0.17754600484085081</v>
      </c>
      <c r="S245" t="s">
        <v>145</v>
      </c>
      <c r="T245">
        <v>5</v>
      </c>
      <c r="U245">
        <v>125</v>
      </c>
      <c r="V245">
        <v>4.3549999633789067</v>
      </c>
      <c r="W245">
        <v>3.9469999999999998E-2</v>
      </c>
      <c r="X245">
        <v>4.1269999999999998</v>
      </c>
      <c r="Y245">
        <v>4.2750000000000004</v>
      </c>
      <c r="Z245">
        <v>0.56868745774841289</v>
      </c>
      <c r="AA245">
        <v>0.99417694346109986</v>
      </c>
      <c r="AB245">
        <v>1.206</v>
      </c>
      <c r="AC245">
        <v>0.34229585592842093</v>
      </c>
      <c r="AD245">
        <v>0.13204360860490799</v>
      </c>
      <c r="AE245">
        <v>0.1344234009332656</v>
      </c>
      <c r="AF245">
        <v>0.17754600484085081</v>
      </c>
    </row>
    <row r="246" spans="4:32" x14ac:dyDescent="0.35">
      <c r="D246" s="11" t="s">
        <v>90</v>
      </c>
      <c r="E246">
        <v>5</v>
      </c>
      <c r="F246">
        <v>62.6</v>
      </c>
      <c r="G246">
        <v>5.7066000373840335</v>
      </c>
      <c r="H246">
        <v>7.1970000000000006E-2</v>
      </c>
      <c r="I246">
        <v>5.5069999999999997</v>
      </c>
      <c r="J246">
        <v>5.7889999999999997</v>
      </c>
      <c r="K246">
        <v>1.11014510938263</v>
      </c>
      <c r="L246">
        <v>0.98390699677785332</v>
      </c>
      <c r="M246">
        <v>1.3944999999999999</v>
      </c>
      <c r="N246">
        <v>0.69827949240493781</v>
      </c>
      <c r="O246">
        <v>0.51907146522712699</v>
      </c>
      <c r="P246">
        <v>5.5884311036348333E-2</v>
      </c>
      <c r="Q246">
        <v>0.31357675017356884</v>
      </c>
      <c r="S246" t="s">
        <v>90</v>
      </c>
      <c r="T246">
        <v>5</v>
      </c>
      <c r="U246">
        <v>62.6</v>
      </c>
      <c r="V246">
        <v>5.7066000373840335</v>
      </c>
      <c r="W246">
        <v>7.1970000000000006E-2</v>
      </c>
      <c r="X246">
        <v>5.5069999999999997</v>
      </c>
      <c r="Y246">
        <v>5.7889999999999997</v>
      </c>
      <c r="Z246">
        <v>1.11014510938263</v>
      </c>
      <c r="AA246">
        <v>0.98390699677785332</v>
      </c>
      <c r="AB246">
        <v>1.3944999999999999</v>
      </c>
      <c r="AC246">
        <v>0.69827949240493781</v>
      </c>
      <c r="AD246">
        <v>0.51907146522712699</v>
      </c>
      <c r="AE246">
        <v>5.5884311036348333E-2</v>
      </c>
      <c r="AF246">
        <v>0.31357675017356884</v>
      </c>
    </row>
    <row r="247" spans="4:32" x14ac:dyDescent="0.35">
      <c r="D247" s="11" t="s">
        <v>30</v>
      </c>
      <c r="E247">
        <v>5</v>
      </c>
      <c r="F247">
        <v>21.4</v>
      </c>
      <c r="G247">
        <v>6.7252000137329109</v>
      </c>
      <c r="H247">
        <v>4.1759999999999999E-2</v>
      </c>
      <c r="I247">
        <v>6.67114890769124</v>
      </c>
      <c r="J247">
        <v>6.8760000000000003</v>
      </c>
      <c r="K247">
        <v>1.0793607635726921</v>
      </c>
      <c r="L247">
        <v>0.94665738657633336</v>
      </c>
      <c r="M247">
        <v>1.2875000000000001</v>
      </c>
      <c r="N247">
        <v>0.77156979954147342</v>
      </c>
      <c r="O247">
        <v>0.43672600167274478</v>
      </c>
      <c r="P247">
        <v>0.13948882292175296</v>
      </c>
      <c r="Q247">
        <v>0.10441608655977239</v>
      </c>
      <c r="S247" t="s">
        <v>30</v>
      </c>
      <c r="T247">
        <v>5</v>
      </c>
      <c r="U247">
        <v>21.4</v>
      </c>
      <c r="V247">
        <v>6.7252000137329109</v>
      </c>
      <c r="W247">
        <v>4.1759999999999999E-2</v>
      </c>
      <c r="X247">
        <v>6.67114890769124</v>
      </c>
      <c r="Y247">
        <v>6.8760000000000003</v>
      </c>
      <c r="Z247">
        <v>1.0793607635726921</v>
      </c>
      <c r="AA247">
        <v>0.94665738657633336</v>
      </c>
      <c r="AB247">
        <v>1.2875000000000001</v>
      </c>
      <c r="AC247">
        <v>0.77156979954147342</v>
      </c>
      <c r="AD247">
        <v>0.43672600167274478</v>
      </c>
      <c r="AE247">
        <v>0.13948882292175296</v>
      </c>
      <c r="AF247">
        <v>0.10441608655977239</v>
      </c>
    </row>
    <row r="248" spans="4:32" x14ac:dyDescent="0.35">
      <c r="D248" s="11" t="s">
        <v>71</v>
      </c>
      <c r="E248">
        <v>5</v>
      </c>
      <c r="F248">
        <v>60.2</v>
      </c>
      <c r="G248">
        <v>5.7585999641418457</v>
      </c>
      <c r="H248">
        <v>3.7990000000000003E-2</v>
      </c>
      <c r="I248">
        <v>5.8230000000000004</v>
      </c>
      <c r="J248">
        <v>5.9710000000000001</v>
      </c>
      <c r="K248">
        <v>0.6714241260528564</v>
      </c>
      <c r="L248">
        <v>1.0328085236867268</v>
      </c>
      <c r="M248">
        <v>1.3145</v>
      </c>
      <c r="N248">
        <v>0.6179630401802062</v>
      </c>
      <c r="O248">
        <v>0.25958580976963042</v>
      </c>
      <c r="P248">
        <v>9.0542572305202414E-3</v>
      </c>
      <c r="Q248">
        <v>0.19405182528114323</v>
      </c>
      <c r="S248" t="s">
        <v>71</v>
      </c>
      <c r="T248">
        <v>5</v>
      </c>
      <c r="U248">
        <v>60.2</v>
      </c>
      <c r="V248">
        <v>5.7585999641418457</v>
      </c>
      <c r="W248">
        <v>3.7990000000000003E-2</v>
      </c>
      <c r="X248">
        <v>5.8230000000000004</v>
      </c>
      <c r="Y248">
        <v>5.9710000000000001</v>
      </c>
      <c r="Z248">
        <v>0.6714241260528564</v>
      </c>
      <c r="AA248">
        <v>1.0328085236867268</v>
      </c>
      <c r="AB248">
        <v>1.3145</v>
      </c>
      <c r="AC248">
        <v>0.6179630401802062</v>
      </c>
      <c r="AD248">
        <v>0.25958580976963042</v>
      </c>
      <c r="AE248">
        <v>9.0542572305202414E-3</v>
      </c>
      <c r="AF248">
        <v>0.19405182528114323</v>
      </c>
    </row>
    <row r="249" spans="4:32" x14ac:dyDescent="0.35">
      <c r="D249" s="11" t="s">
        <v>121</v>
      </c>
      <c r="E249">
        <v>5</v>
      </c>
      <c r="F249">
        <v>95.6</v>
      </c>
      <c r="G249">
        <v>5.0291999847412097</v>
      </c>
      <c r="H249">
        <v>3.313E-2</v>
      </c>
      <c r="I249">
        <v>4.8380000000000001</v>
      </c>
      <c r="J249">
        <v>4.976</v>
      </c>
      <c r="K249">
        <v>0.94119117311859202</v>
      </c>
      <c r="L249">
        <v>1.2944804120636</v>
      </c>
      <c r="M249">
        <v>1.524</v>
      </c>
      <c r="N249">
        <v>0.59143069689178451</v>
      </c>
      <c r="O249">
        <v>0.38042479376411442</v>
      </c>
      <c r="P249">
        <v>3.248245783638954E-2</v>
      </c>
      <c r="Q249">
        <v>0.30083084605979915</v>
      </c>
      <c r="S249" t="s">
        <v>121</v>
      </c>
      <c r="T249">
        <v>5</v>
      </c>
      <c r="U249">
        <v>95.6</v>
      </c>
      <c r="V249">
        <v>5.0291999847412097</v>
      </c>
      <c r="W249">
        <v>3.313E-2</v>
      </c>
      <c r="X249">
        <v>4.8380000000000001</v>
      </c>
      <c r="Y249">
        <v>4.976</v>
      </c>
      <c r="Z249">
        <v>0.94119117311859202</v>
      </c>
      <c r="AA249">
        <v>1.2944804120636</v>
      </c>
      <c r="AB249">
        <v>1.524</v>
      </c>
      <c r="AC249">
        <v>0.59143069689178451</v>
      </c>
      <c r="AD249">
        <v>0.38042479376411442</v>
      </c>
      <c r="AE249">
        <v>3.248245783638954E-2</v>
      </c>
      <c r="AF249">
        <v>0.30083084605979915</v>
      </c>
    </row>
    <row r="250" spans="4:32" x14ac:dyDescent="0.35">
      <c r="D250" s="11" t="s">
        <v>104</v>
      </c>
      <c r="E250">
        <v>5</v>
      </c>
      <c r="F250">
        <v>81.400000000000006</v>
      </c>
      <c r="G250">
        <v>5.2919999977111818</v>
      </c>
      <c r="H250">
        <v>5.2350000000000001E-2</v>
      </c>
      <c r="I250">
        <v>5.0549999999999997</v>
      </c>
      <c r="J250">
        <v>5.2670000000000003</v>
      </c>
      <c r="K250">
        <v>1.0483778071899419</v>
      </c>
      <c r="L250">
        <v>0.96189216607411654</v>
      </c>
      <c r="M250">
        <v>1.3199999999999998</v>
      </c>
      <c r="N250">
        <v>0.72560093470382703</v>
      </c>
      <c r="O250">
        <v>0.1969398110790252</v>
      </c>
      <c r="P250">
        <v>0.10386883881950379</v>
      </c>
      <c r="Q250">
        <v>0.1568442048187256</v>
      </c>
      <c r="S250" t="s">
        <v>104</v>
      </c>
      <c r="T250">
        <v>5</v>
      </c>
      <c r="U250">
        <v>81.400000000000006</v>
      </c>
      <c r="V250">
        <v>5.2919999977111818</v>
      </c>
      <c r="W250">
        <v>5.2350000000000001E-2</v>
      </c>
      <c r="X250">
        <v>5.0549999999999997</v>
      </c>
      <c r="Y250">
        <v>5.2670000000000003</v>
      </c>
      <c r="Z250">
        <v>1.0483778071899419</v>
      </c>
      <c r="AA250">
        <v>0.96189216607411654</v>
      </c>
      <c r="AB250">
        <v>1.3199999999999998</v>
      </c>
      <c r="AC250">
        <v>0.72560093470382703</v>
      </c>
      <c r="AD250">
        <v>0.1969398110790252</v>
      </c>
      <c r="AE250">
        <v>0.10386883881950379</v>
      </c>
      <c r="AF250">
        <v>0.1568442048187256</v>
      </c>
    </row>
    <row r="251" spans="4:32" x14ac:dyDescent="0.35">
      <c r="D251" s="11" t="s">
        <v>113</v>
      </c>
      <c r="E251">
        <v>5</v>
      </c>
      <c r="F251">
        <v>88</v>
      </c>
      <c r="G251">
        <v>5.1722000267028791</v>
      </c>
      <c r="H251">
        <v>3.4200000000000001E-2</v>
      </c>
      <c r="I251">
        <v>5.0579999999999998</v>
      </c>
      <c r="J251">
        <v>5.2439999999999998</v>
      </c>
      <c r="K251">
        <v>0.80669691622161854</v>
      </c>
      <c r="L251">
        <v>0.60058814506530755</v>
      </c>
      <c r="M251">
        <v>0.78950000000000009</v>
      </c>
      <c r="N251">
        <v>0.65059213380813596</v>
      </c>
      <c r="O251">
        <v>0.39190566642189018</v>
      </c>
      <c r="P251">
        <v>8.1452636563777922E-2</v>
      </c>
      <c r="Q251">
        <v>4.12919910311699E-2</v>
      </c>
      <c r="S251" t="s">
        <v>113</v>
      </c>
      <c r="T251">
        <v>5</v>
      </c>
      <c r="U251">
        <v>88</v>
      </c>
      <c r="V251">
        <v>5.1722000267028791</v>
      </c>
      <c r="W251">
        <v>3.4200000000000001E-2</v>
      </c>
      <c r="X251">
        <v>5.0579999999999998</v>
      </c>
      <c r="Y251">
        <v>5.2439999999999998</v>
      </c>
      <c r="Z251">
        <v>0.80669691622161854</v>
      </c>
      <c r="AA251">
        <v>0.60058814506530755</v>
      </c>
      <c r="AB251">
        <v>0.78950000000000009</v>
      </c>
      <c r="AC251">
        <v>0.65059213380813596</v>
      </c>
      <c r="AD251">
        <v>0.39190566642189018</v>
      </c>
      <c r="AE251">
        <v>8.1452636563777922E-2</v>
      </c>
      <c r="AF251">
        <v>4.12919910311699E-2</v>
      </c>
    </row>
    <row r="252" spans="4:32" x14ac:dyDescent="0.35">
      <c r="D252" s="11" t="s">
        <v>115</v>
      </c>
      <c r="E252">
        <v>4</v>
      </c>
      <c r="F252">
        <v>113.25</v>
      </c>
      <c r="G252">
        <v>4.6010000476837147</v>
      </c>
      <c r="H252">
        <v>7.8960000000000002E-2</v>
      </c>
      <c r="I252">
        <v>4.7741023263335203</v>
      </c>
      <c r="J252">
        <v>4.3258980551362001</v>
      </c>
      <c r="K252">
        <v>0.179846412498951</v>
      </c>
      <c r="L252">
        <v>0.94848050749778745</v>
      </c>
      <c r="M252">
        <v>0.94399999999999995</v>
      </c>
      <c r="N252">
        <v>0.19024110884904849</v>
      </c>
      <c r="O252">
        <v>0.46154027297973627</v>
      </c>
      <c r="P252">
        <v>0.15786659640789025</v>
      </c>
      <c r="Q252">
        <v>0.23697952596902849</v>
      </c>
      <c r="S252" t="s">
        <v>115</v>
      </c>
      <c r="T252">
        <v>4</v>
      </c>
      <c r="U252">
        <v>113.25</v>
      </c>
      <c r="V252">
        <v>4.6010000476837147</v>
      </c>
      <c r="W252">
        <v>7.8960000000000002E-2</v>
      </c>
      <c r="X252">
        <v>4.7741023263335203</v>
      </c>
      <c r="Y252">
        <v>4.3258980551362001</v>
      </c>
      <c r="Z252">
        <v>0.179846412498951</v>
      </c>
      <c r="AA252">
        <v>0.94848050749778745</v>
      </c>
      <c r="AB252">
        <v>0.94399999999999995</v>
      </c>
      <c r="AC252">
        <v>0.19024110884904849</v>
      </c>
      <c r="AD252">
        <v>0.46154027297973627</v>
      </c>
      <c r="AE252">
        <v>0.15786659640789025</v>
      </c>
      <c r="AF252">
        <v>0.23697952596902849</v>
      </c>
    </row>
    <row r="253" spans="4:32" x14ac:dyDescent="0.35">
      <c r="D253" s="11" t="s">
        <v>150</v>
      </c>
      <c r="E253">
        <v>5</v>
      </c>
      <c r="F253">
        <v>124.6</v>
      </c>
      <c r="G253">
        <v>4.3830000152587898</v>
      </c>
      <c r="H253">
        <v>4.351E-2</v>
      </c>
      <c r="I253">
        <v>4.327</v>
      </c>
      <c r="J253">
        <v>4.4752602061629299</v>
      </c>
      <c r="K253">
        <v>0.474262110080719</v>
      </c>
      <c r="L253">
        <v>0.84403198031107662</v>
      </c>
      <c r="M253">
        <v>1.1775</v>
      </c>
      <c r="N253">
        <v>0.45255651374053957</v>
      </c>
      <c r="O253">
        <v>0.4973164069824218</v>
      </c>
      <c r="P253">
        <v>0.18631724093341817</v>
      </c>
      <c r="Q253">
        <v>0.72353303219604492</v>
      </c>
      <c r="S253" t="s">
        <v>150</v>
      </c>
      <c r="T253">
        <v>5</v>
      </c>
      <c r="U253">
        <v>124.6</v>
      </c>
      <c r="V253">
        <v>4.3830000152587898</v>
      </c>
      <c r="W253">
        <v>4.351E-2</v>
      </c>
      <c r="X253">
        <v>4.327</v>
      </c>
      <c r="Y253">
        <v>4.4752602061629299</v>
      </c>
      <c r="Z253">
        <v>0.474262110080719</v>
      </c>
      <c r="AA253">
        <v>0.84403198031107662</v>
      </c>
      <c r="AB253">
        <v>1.1775</v>
      </c>
      <c r="AC253">
        <v>0.45255651374053957</v>
      </c>
      <c r="AD253">
        <v>0.4973164069824218</v>
      </c>
      <c r="AE253">
        <v>0.18631724093341817</v>
      </c>
      <c r="AF253">
        <v>0.72353303219604492</v>
      </c>
    </row>
    <row r="254" spans="4:32" x14ac:dyDescent="0.35">
      <c r="D254" s="11" t="s">
        <v>211</v>
      </c>
      <c r="E254">
        <v>4</v>
      </c>
      <c r="F254">
        <v>114</v>
      </c>
      <c r="G254">
        <v>4.5569999704360944</v>
      </c>
      <c r="I254">
        <v>4.3739999999999997</v>
      </c>
      <c r="J254">
        <v>4.774</v>
      </c>
      <c r="K254">
        <v>0.91257608142375946</v>
      </c>
      <c r="L254">
        <v>0.90104540353774998</v>
      </c>
      <c r="M254">
        <v>1.2969999999999999</v>
      </c>
      <c r="N254">
        <v>0.38201545284986493</v>
      </c>
      <c r="O254">
        <v>0.48161088684558878</v>
      </c>
      <c r="P254">
        <v>7.9281743089556697E-2</v>
      </c>
      <c r="Q254">
        <v>6.902093623876572E-2</v>
      </c>
      <c r="S254" t="s">
        <v>211</v>
      </c>
      <c r="T254">
        <v>4</v>
      </c>
      <c r="U254">
        <v>114</v>
      </c>
      <c r="V254">
        <v>4.5569999704360944</v>
      </c>
      <c r="X254">
        <v>4.3739999999999997</v>
      </c>
      <c r="Y254">
        <v>4.774</v>
      </c>
      <c r="Z254">
        <v>0.91257608142375946</v>
      </c>
      <c r="AA254">
        <v>0.90104540353774998</v>
      </c>
      <c r="AB254">
        <v>1.2969999999999999</v>
      </c>
      <c r="AC254">
        <v>0.38201545284986493</v>
      </c>
      <c r="AD254">
        <v>0.48161088684558878</v>
      </c>
      <c r="AE254">
        <v>7.9281743089556697E-2</v>
      </c>
      <c r="AF254">
        <v>6.902093623876572E-2</v>
      </c>
    </row>
    <row r="255" spans="4:32" x14ac:dyDescent="0.35">
      <c r="D255" s="11" t="s">
        <v>142</v>
      </c>
      <c r="E255">
        <v>5</v>
      </c>
      <c r="F255">
        <v>105.6</v>
      </c>
      <c r="G255">
        <v>4.8123999786376963</v>
      </c>
      <c r="H255">
        <v>3.6069999999999998E-2</v>
      </c>
      <c r="I255">
        <v>4.6980000000000004</v>
      </c>
      <c r="J255">
        <v>4.8879999999999999</v>
      </c>
      <c r="K255">
        <v>0.43141003837203984</v>
      </c>
      <c r="L255">
        <v>0.91358775376637669</v>
      </c>
      <c r="M255">
        <v>1.2269999999999999</v>
      </c>
      <c r="N255">
        <v>0.55792015613937385</v>
      </c>
      <c r="O255">
        <v>0.43164918965148918</v>
      </c>
      <c r="P255">
        <v>7.3825109224319466E-2</v>
      </c>
      <c r="Q255">
        <v>0.33713123317909244</v>
      </c>
      <c r="S255" t="s">
        <v>142</v>
      </c>
      <c r="T255">
        <v>5</v>
      </c>
      <c r="U255">
        <v>105.6</v>
      </c>
      <c r="V255">
        <v>4.8123999786376963</v>
      </c>
      <c r="W255">
        <v>3.6069999999999998E-2</v>
      </c>
      <c r="X255">
        <v>4.6980000000000004</v>
      </c>
      <c r="Y255">
        <v>4.8879999999999999</v>
      </c>
      <c r="Z255">
        <v>0.43141003837203984</v>
      </c>
      <c r="AA255">
        <v>0.91358775376637669</v>
      </c>
      <c r="AB255">
        <v>1.2269999999999999</v>
      </c>
      <c r="AC255">
        <v>0.55792015613937385</v>
      </c>
      <c r="AD255">
        <v>0.43164918965148918</v>
      </c>
      <c r="AE255">
        <v>7.3825109224319466E-2</v>
      </c>
      <c r="AF255">
        <v>0.33713123317909244</v>
      </c>
    </row>
    <row r="256" spans="4:32" x14ac:dyDescent="0.35">
      <c r="D256" s="11" t="s">
        <v>20</v>
      </c>
      <c r="E256">
        <v>5</v>
      </c>
      <c r="F256">
        <v>6.2</v>
      </c>
      <c r="G256">
        <v>7.4045999710083006</v>
      </c>
      <c r="H256">
        <v>2.7990000000000001E-2</v>
      </c>
      <c r="I256">
        <v>7.2839999999999998</v>
      </c>
      <c r="J256">
        <v>7.3940000000000001</v>
      </c>
      <c r="K256">
        <v>1.4110129270782479</v>
      </c>
      <c r="L256">
        <v>1.2460764077631632</v>
      </c>
      <c r="M256">
        <v>1.5049999999999999</v>
      </c>
      <c r="N256">
        <v>0.87856922500610357</v>
      </c>
      <c r="O256">
        <v>0.58965089762115475</v>
      </c>
      <c r="P256">
        <v>0.29861436508369443</v>
      </c>
      <c r="Q256">
        <v>0.41514996595573422</v>
      </c>
      <c r="S256" t="s">
        <v>20</v>
      </c>
      <c r="T256">
        <v>5</v>
      </c>
      <c r="U256">
        <v>6.2</v>
      </c>
      <c r="V256">
        <v>7.4045999710083006</v>
      </c>
      <c r="W256">
        <v>2.7990000000000001E-2</v>
      </c>
      <c r="X256">
        <v>7.2839999999999998</v>
      </c>
      <c r="Y256">
        <v>7.3940000000000001</v>
      </c>
      <c r="Z256">
        <v>1.4110129270782479</v>
      </c>
      <c r="AA256">
        <v>1.2460764077631632</v>
      </c>
      <c r="AB256">
        <v>1.5049999999999999</v>
      </c>
      <c r="AC256">
        <v>0.87856922500610357</v>
      </c>
      <c r="AD256">
        <v>0.58965089762115475</v>
      </c>
      <c r="AE256">
        <v>0.29861436508369443</v>
      </c>
      <c r="AF256">
        <v>0.41514996595573422</v>
      </c>
    </row>
    <row r="257" spans="4:32" x14ac:dyDescent="0.35">
      <c r="D257" s="11" t="s">
        <v>22</v>
      </c>
      <c r="E257">
        <v>5</v>
      </c>
      <c r="F257">
        <v>8.1999999999999993</v>
      </c>
      <c r="G257">
        <v>7.3130000259399424</v>
      </c>
      <c r="H257">
        <v>3.3709999999999997E-2</v>
      </c>
      <c r="I257">
        <v>7.2640000000000002</v>
      </c>
      <c r="J257">
        <v>7.4039999999999999</v>
      </c>
      <c r="K257">
        <v>1.317509209602356</v>
      </c>
      <c r="L257">
        <v>1.3468817078908299</v>
      </c>
      <c r="M257">
        <v>1.579</v>
      </c>
      <c r="N257">
        <v>0.89161794110870363</v>
      </c>
      <c r="O257">
        <v>0.61778242609024037</v>
      </c>
      <c r="P257">
        <v>0.40001534042549142</v>
      </c>
      <c r="Q257">
        <v>0.43280502519989017</v>
      </c>
      <c r="S257" t="s">
        <v>22</v>
      </c>
      <c r="T257">
        <v>5</v>
      </c>
      <c r="U257">
        <v>8.1999999999999993</v>
      </c>
      <c r="V257">
        <v>7.3130000259399424</v>
      </c>
      <c r="W257">
        <v>3.3709999999999997E-2</v>
      </c>
      <c r="X257">
        <v>7.2640000000000002</v>
      </c>
      <c r="Y257">
        <v>7.4039999999999999</v>
      </c>
      <c r="Z257">
        <v>1.317509209602356</v>
      </c>
      <c r="AA257">
        <v>1.3468817078908299</v>
      </c>
      <c r="AB257">
        <v>1.579</v>
      </c>
      <c r="AC257">
        <v>0.89161794110870363</v>
      </c>
      <c r="AD257">
        <v>0.61778242609024037</v>
      </c>
      <c r="AE257">
        <v>0.40001534042549142</v>
      </c>
      <c r="AF257">
        <v>0.43280502519989017</v>
      </c>
    </row>
    <row r="258" spans="4:32" x14ac:dyDescent="0.35">
      <c r="D258" s="11" t="s">
        <v>76</v>
      </c>
      <c r="E258">
        <v>5</v>
      </c>
      <c r="F258">
        <v>46.8</v>
      </c>
      <c r="G258">
        <v>6.0274000198364259</v>
      </c>
      <c r="H258">
        <v>5.3710000000000001E-2</v>
      </c>
      <c r="I258">
        <v>5.8769999999999998</v>
      </c>
      <c r="J258">
        <v>6.1070000000000002</v>
      </c>
      <c r="K258">
        <v>0.67727784077453623</v>
      </c>
      <c r="L258">
        <v>1.1080885698954266</v>
      </c>
      <c r="M258">
        <v>1.3220000000000001</v>
      </c>
      <c r="N258">
        <v>0.71667319212341296</v>
      </c>
      <c r="O258">
        <v>0.4860243693008422</v>
      </c>
      <c r="P258">
        <v>0.14835559636878962</v>
      </c>
      <c r="Q258">
        <v>0.25711084339714058</v>
      </c>
      <c r="S258" t="s">
        <v>76</v>
      </c>
      <c r="T258">
        <v>5</v>
      </c>
      <c r="U258">
        <v>46.8</v>
      </c>
      <c r="V258">
        <v>6.0274000198364259</v>
      </c>
      <c r="W258">
        <v>5.3710000000000001E-2</v>
      </c>
      <c r="X258">
        <v>5.8769999999999998</v>
      </c>
      <c r="Y258">
        <v>6.1070000000000002</v>
      </c>
      <c r="Z258">
        <v>0.67727784077453623</v>
      </c>
      <c r="AA258">
        <v>1.1080885698954266</v>
      </c>
      <c r="AB258">
        <v>1.3220000000000001</v>
      </c>
      <c r="AC258">
        <v>0.71667319212341296</v>
      </c>
      <c r="AD258">
        <v>0.4860243693008422</v>
      </c>
      <c r="AE258">
        <v>0.14835559636878962</v>
      </c>
      <c r="AF258">
        <v>0.25711084339714058</v>
      </c>
    </row>
    <row r="259" spans="4:32" x14ac:dyDescent="0.35">
      <c r="D259" s="11" t="s">
        <v>165</v>
      </c>
      <c r="E259">
        <v>5</v>
      </c>
      <c r="F259">
        <v>133.80000000000001</v>
      </c>
      <c r="G259">
        <v>4.1045999755859386</v>
      </c>
      <c r="H259">
        <v>3.6020000000000003E-2</v>
      </c>
      <c r="I259">
        <v>3.7810000000000001</v>
      </c>
      <c r="J259">
        <v>3.9440529361367198</v>
      </c>
      <c r="K259">
        <v>0.12660506615161901</v>
      </c>
      <c r="L259">
        <v>0.7903250016212463</v>
      </c>
      <c r="M259">
        <v>0.82050000000000001</v>
      </c>
      <c r="N259">
        <v>0.28283900140571605</v>
      </c>
      <c r="O259">
        <v>0.38579773928260802</v>
      </c>
      <c r="P259">
        <v>0.13354458923816678</v>
      </c>
      <c r="Q259">
        <v>0.19904876910591121</v>
      </c>
      <c r="S259" t="s">
        <v>165</v>
      </c>
      <c r="T259">
        <v>5</v>
      </c>
      <c r="U259">
        <v>133.80000000000001</v>
      </c>
      <c r="V259">
        <v>4.1045999755859386</v>
      </c>
      <c r="W259">
        <v>3.6020000000000003E-2</v>
      </c>
      <c r="X259">
        <v>3.7810000000000001</v>
      </c>
      <c r="Y259">
        <v>3.9440529361367198</v>
      </c>
      <c r="Z259">
        <v>0.12660506615161901</v>
      </c>
      <c r="AA259">
        <v>0.7903250016212463</v>
      </c>
      <c r="AB259">
        <v>0.82050000000000001</v>
      </c>
      <c r="AC259">
        <v>0.28283900140571605</v>
      </c>
      <c r="AD259">
        <v>0.38579773928260802</v>
      </c>
      <c r="AE259">
        <v>0.13354458923816678</v>
      </c>
      <c r="AF259">
        <v>0.19904876910591121</v>
      </c>
    </row>
    <row r="260" spans="4:32" x14ac:dyDescent="0.35">
      <c r="D260" s="11" t="s">
        <v>98</v>
      </c>
      <c r="E260">
        <v>5</v>
      </c>
      <c r="F260">
        <v>90.4</v>
      </c>
      <c r="G260">
        <v>5.1273999763488769</v>
      </c>
      <c r="H260">
        <v>4.1919999999999999E-2</v>
      </c>
      <c r="I260">
        <v>4.75</v>
      </c>
      <c r="J260">
        <v>5</v>
      </c>
      <c r="K260">
        <v>0.71505325122070329</v>
      </c>
      <c r="L260">
        <v>0.92169016100565671</v>
      </c>
      <c r="M260">
        <v>1.1415</v>
      </c>
      <c r="N260">
        <v>0.11221314604759217</v>
      </c>
      <c r="O260">
        <v>0.38096651308631901</v>
      </c>
      <c r="P260">
        <v>3.3984313214421288E-2</v>
      </c>
      <c r="Q260">
        <v>0.23029343929672247</v>
      </c>
      <c r="S260" t="s">
        <v>98</v>
      </c>
      <c r="T260">
        <v>5</v>
      </c>
      <c r="U260">
        <v>90.4</v>
      </c>
      <c r="V260">
        <v>5.1273999763488769</v>
      </c>
      <c r="W260">
        <v>4.1919999999999999E-2</v>
      </c>
      <c r="X260">
        <v>4.75</v>
      </c>
      <c r="Y260">
        <v>5</v>
      </c>
      <c r="Z260">
        <v>0.71505325122070329</v>
      </c>
      <c r="AA260">
        <v>0.92169016100565671</v>
      </c>
      <c r="AB260">
        <v>1.1415</v>
      </c>
      <c r="AC260">
        <v>0.11221314604759217</v>
      </c>
      <c r="AD260">
        <v>0.38096651308631901</v>
      </c>
      <c r="AE260">
        <v>3.3984313214421288E-2</v>
      </c>
      <c r="AF260">
        <v>0.23029343929672247</v>
      </c>
    </row>
    <row r="261" spans="4:32" x14ac:dyDescent="0.35">
      <c r="D261" s="11" t="s">
        <v>85</v>
      </c>
      <c r="E261">
        <v>3</v>
      </c>
      <c r="F261">
        <v>63</v>
      </c>
      <c r="G261">
        <v>5.7586666475931807</v>
      </c>
      <c r="H261">
        <v>5.6349999999999997E-2</v>
      </c>
      <c r="I261">
        <v>5.67</v>
      </c>
      <c r="J261">
        <v>5.8719999999999999</v>
      </c>
      <c r="K261">
        <v>1.2887937703832</v>
      </c>
      <c r="L261">
        <v>1.0248811257171633</v>
      </c>
      <c r="N261">
        <v>0.86654241275151567</v>
      </c>
      <c r="O261">
        <v>0.46581120840072637</v>
      </c>
      <c r="P261">
        <v>0.154644450809161</v>
      </c>
      <c r="Q261">
        <v>0.26391856770833333</v>
      </c>
      <c r="S261" t="s">
        <v>85</v>
      </c>
      <c r="T261">
        <v>3</v>
      </c>
      <c r="U261">
        <v>63</v>
      </c>
      <c r="V261">
        <v>5.7586666475931807</v>
      </c>
      <c r="W261">
        <v>5.6349999999999997E-2</v>
      </c>
      <c r="X261">
        <v>5.67</v>
      </c>
      <c r="Y261">
        <v>5.8719999999999999</v>
      </c>
      <c r="Z261">
        <v>1.2887937703832</v>
      </c>
      <c r="AA261">
        <v>1.0248811257171633</v>
      </c>
      <c r="AC261">
        <v>0.86654241275151567</v>
      </c>
      <c r="AD261">
        <v>0.46581120840072637</v>
      </c>
      <c r="AE261">
        <v>0.154644450809161</v>
      </c>
      <c r="AF261">
        <v>0.26391856770833333</v>
      </c>
    </row>
    <row r="262" spans="4:32" x14ac:dyDescent="0.35">
      <c r="D262" s="11" t="s">
        <v>234</v>
      </c>
      <c r="E262">
        <v>1</v>
      </c>
      <c r="F262">
        <v>84</v>
      </c>
      <c r="G262">
        <v>5.274</v>
      </c>
      <c r="K262">
        <v>0.98299999999999998</v>
      </c>
      <c r="M262">
        <v>1.294</v>
      </c>
      <c r="N262">
        <v>0.83799999999999997</v>
      </c>
      <c r="O262">
        <v>0.34499999999999997</v>
      </c>
      <c r="P262">
        <v>3.4000000000000002E-2</v>
      </c>
      <c r="Q262">
        <v>0.185</v>
      </c>
      <c r="S262" t="s">
        <v>234</v>
      </c>
      <c r="T262">
        <v>1</v>
      </c>
      <c r="U262">
        <v>84</v>
      </c>
      <c r="V262">
        <v>5.274</v>
      </c>
      <c r="Z262">
        <v>0.98299999999999998</v>
      </c>
      <c r="AB262">
        <v>1.294</v>
      </c>
      <c r="AC262">
        <v>0.83799999999999997</v>
      </c>
      <c r="AD262">
        <v>0.34499999999999997</v>
      </c>
      <c r="AE262">
        <v>3.4000000000000002E-2</v>
      </c>
      <c r="AF262">
        <v>0.185</v>
      </c>
    </row>
    <row r="263" spans="4:32" x14ac:dyDescent="0.35">
      <c r="D263" s="11" t="s">
        <v>233</v>
      </c>
      <c r="E263">
        <v>2</v>
      </c>
      <c r="F263">
        <v>61</v>
      </c>
      <c r="G263">
        <v>5.7765000000000004</v>
      </c>
      <c r="K263">
        <v>1.246</v>
      </c>
      <c r="M263">
        <v>1.2315</v>
      </c>
      <c r="N263">
        <v>0.97550000000000003</v>
      </c>
      <c r="O263">
        <v>0.45599999999999996</v>
      </c>
      <c r="P263">
        <v>0.158</v>
      </c>
      <c r="Q263">
        <v>0.185</v>
      </c>
      <c r="S263" t="s">
        <v>233</v>
      </c>
      <c r="T263">
        <v>2</v>
      </c>
      <c r="U263">
        <v>61</v>
      </c>
      <c r="V263">
        <v>5.7765000000000004</v>
      </c>
      <c r="Z263">
        <v>1.246</v>
      </c>
      <c r="AB263">
        <v>1.2315</v>
      </c>
      <c r="AC263">
        <v>0.97550000000000003</v>
      </c>
      <c r="AD263">
        <v>0.45599999999999996</v>
      </c>
      <c r="AE263">
        <v>0.158</v>
      </c>
      <c r="AF263">
        <v>0.185</v>
      </c>
    </row>
    <row r="264" spans="4:32" x14ac:dyDescent="0.35">
      <c r="D264" s="11" t="s">
        <v>16</v>
      </c>
      <c r="E264">
        <v>5</v>
      </c>
      <c r="F264">
        <v>2.8</v>
      </c>
      <c r="G264">
        <v>7.5410000358581541</v>
      </c>
      <c r="H264">
        <v>3.8800000000000001E-2</v>
      </c>
      <c r="I264">
        <v>7.4210000000000003</v>
      </c>
      <c r="J264">
        <v>7.5750000000000002</v>
      </c>
      <c r="K264">
        <v>1.5193806368713378</v>
      </c>
      <c r="L264">
        <v>1.3304578531901035</v>
      </c>
      <c r="M264">
        <v>1.5820000000000001</v>
      </c>
      <c r="N264">
        <v>0.87333330059051517</v>
      </c>
      <c r="O264">
        <v>0.63804851747894276</v>
      </c>
      <c r="P264">
        <v>0.34395076690483101</v>
      </c>
      <c r="Q264">
        <v>0.328990447462082</v>
      </c>
      <c r="S264" t="s">
        <v>16</v>
      </c>
      <c r="T264">
        <v>5</v>
      </c>
      <c r="U264">
        <v>2.8</v>
      </c>
      <c r="V264">
        <v>7.5410000358581541</v>
      </c>
      <c r="W264">
        <v>3.8800000000000001E-2</v>
      </c>
      <c r="X264">
        <v>7.4210000000000003</v>
      </c>
      <c r="Y264">
        <v>7.5750000000000002</v>
      </c>
      <c r="Z264">
        <v>1.5193806368713378</v>
      </c>
      <c r="AA264">
        <v>1.3304578531901035</v>
      </c>
      <c r="AB264">
        <v>1.5820000000000001</v>
      </c>
      <c r="AC264">
        <v>0.87333330059051517</v>
      </c>
      <c r="AD264">
        <v>0.63804851747894276</v>
      </c>
      <c r="AE264">
        <v>0.34395076690483101</v>
      </c>
      <c r="AF264">
        <v>0.328990447462082</v>
      </c>
    </row>
    <row r="265" spans="4:32" x14ac:dyDescent="0.35">
      <c r="D265" s="11" t="s">
        <v>38</v>
      </c>
      <c r="E265">
        <v>1</v>
      </c>
      <c r="F265">
        <v>22</v>
      </c>
      <c r="G265">
        <v>6.8529999999999998</v>
      </c>
      <c r="H265">
        <v>5.3350000000000002E-2</v>
      </c>
      <c r="K265">
        <v>1.3601099999999999</v>
      </c>
      <c r="L265">
        <v>1.08182</v>
      </c>
      <c r="N265">
        <v>0.76275999999999999</v>
      </c>
      <c r="O265">
        <v>0.63273999999999997</v>
      </c>
      <c r="P265">
        <v>0.32523999999999997</v>
      </c>
      <c r="Q265">
        <v>0.21542</v>
      </c>
      <c r="S265" t="s">
        <v>38</v>
      </c>
      <c r="T265">
        <v>1</v>
      </c>
      <c r="U265">
        <v>22</v>
      </c>
      <c r="V265">
        <v>6.8529999999999998</v>
      </c>
      <c r="W265">
        <v>5.3350000000000002E-2</v>
      </c>
      <c r="Z265">
        <v>1.3601099999999999</v>
      </c>
      <c r="AA265">
        <v>1.08182</v>
      </c>
      <c r="AC265">
        <v>0.76275999999999999</v>
      </c>
      <c r="AD265">
        <v>0.63273999999999997</v>
      </c>
      <c r="AE265">
        <v>0.32523999999999997</v>
      </c>
      <c r="AF265">
        <v>0.21542</v>
      </c>
    </row>
    <row r="266" spans="4:32" x14ac:dyDescent="0.35">
      <c r="D266" s="11" t="s">
        <v>102</v>
      </c>
      <c r="E266">
        <v>5</v>
      </c>
      <c r="F266">
        <v>79</v>
      </c>
      <c r="G266">
        <v>5.3440000106811514</v>
      </c>
      <c r="H266">
        <v>3.7260000000000001E-2</v>
      </c>
      <c r="I266">
        <v>5.0380000000000003</v>
      </c>
      <c r="J266">
        <v>5.226</v>
      </c>
      <c r="K266">
        <v>0.667894706123352</v>
      </c>
      <c r="L266">
        <v>0.449383563187917</v>
      </c>
      <c r="M266">
        <v>0.84800000000000009</v>
      </c>
      <c r="N266">
        <v>0.45575355662727357</v>
      </c>
      <c r="O266">
        <v>0.229891052315712</v>
      </c>
      <c r="P266">
        <v>0.11575761334943779</v>
      </c>
      <c r="Q266">
        <v>0.28000120383453359</v>
      </c>
      <c r="S266" t="s">
        <v>102</v>
      </c>
      <c r="T266">
        <v>5</v>
      </c>
      <c r="U266">
        <v>79</v>
      </c>
      <c r="V266">
        <v>5.3440000106811514</v>
      </c>
      <c r="W266">
        <v>3.7260000000000001E-2</v>
      </c>
      <c r="X266">
        <v>5.0380000000000003</v>
      </c>
      <c r="Y266">
        <v>5.226</v>
      </c>
      <c r="Z266">
        <v>0.667894706123352</v>
      </c>
      <c r="AA266">
        <v>0.449383563187917</v>
      </c>
      <c r="AB266">
        <v>0.84800000000000009</v>
      </c>
      <c r="AC266">
        <v>0.45575355662727357</v>
      </c>
      <c r="AD266">
        <v>0.229891052315712</v>
      </c>
      <c r="AE266">
        <v>0.11575761334943779</v>
      </c>
      <c r="AF266">
        <v>0.28000120383453359</v>
      </c>
    </row>
    <row r="267" spans="4:32" x14ac:dyDescent="0.35">
      <c r="D267" s="11" t="s">
        <v>129</v>
      </c>
      <c r="E267">
        <v>5</v>
      </c>
      <c r="F267">
        <v>106.6</v>
      </c>
      <c r="G267">
        <v>4.7366000190734852</v>
      </c>
      <c r="H267">
        <v>4.394E-2</v>
      </c>
      <c r="I267">
        <v>4.649</v>
      </c>
      <c r="J267">
        <v>4.859</v>
      </c>
      <c r="K267">
        <v>0.65683184550476081</v>
      </c>
      <c r="L267">
        <v>0.93250571954091332</v>
      </c>
      <c r="M267">
        <v>1.2320000000000002</v>
      </c>
      <c r="N267">
        <v>0.61365139471817032</v>
      </c>
      <c r="O267">
        <v>0.23362821234321601</v>
      </c>
      <c r="P267">
        <v>9.3292520414352417E-2</v>
      </c>
      <c r="Q267">
        <v>0.1054446347808838</v>
      </c>
      <c r="S267" t="s">
        <v>129</v>
      </c>
      <c r="T267">
        <v>5</v>
      </c>
      <c r="U267">
        <v>106.6</v>
      </c>
      <c r="V267">
        <v>4.7366000190734852</v>
      </c>
      <c r="W267">
        <v>4.394E-2</v>
      </c>
      <c r="X267">
        <v>4.649</v>
      </c>
      <c r="Y267">
        <v>4.859</v>
      </c>
      <c r="Z267">
        <v>0.65683184550476081</v>
      </c>
      <c r="AA267">
        <v>0.93250571954091332</v>
      </c>
      <c r="AB267">
        <v>1.2320000000000002</v>
      </c>
      <c r="AC267">
        <v>0.61365139471817032</v>
      </c>
      <c r="AD267">
        <v>0.23362821234321601</v>
      </c>
      <c r="AE267">
        <v>9.3292520414352417E-2</v>
      </c>
      <c r="AF267">
        <v>0.1054446347808838</v>
      </c>
    </row>
    <row r="268" spans="4:32" x14ac:dyDescent="0.35">
      <c r="D268" s="11" t="s">
        <v>42</v>
      </c>
      <c r="E268">
        <v>5</v>
      </c>
      <c r="F268">
        <v>27.6</v>
      </c>
      <c r="G268">
        <v>6.53800002822876</v>
      </c>
      <c r="H268">
        <v>4.9099999999999998E-2</v>
      </c>
      <c r="I268">
        <v>6.5571307161450401</v>
      </c>
      <c r="J268">
        <v>6.8010000000000002</v>
      </c>
      <c r="K268">
        <v>1.1482676871948241</v>
      </c>
      <c r="L268">
        <v>1.1869375162506099</v>
      </c>
      <c r="M268">
        <v>1.44</v>
      </c>
      <c r="N268">
        <v>0.77602322692108161</v>
      </c>
      <c r="O268">
        <v>0.5388793668022156</v>
      </c>
      <c r="P268">
        <v>7.2982784794330596E-2</v>
      </c>
      <c r="Q268">
        <v>0.186139387848854</v>
      </c>
      <c r="S268" t="s">
        <v>42</v>
      </c>
      <c r="T268">
        <v>5</v>
      </c>
      <c r="U268">
        <v>27.6</v>
      </c>
      <c r="V268">
        <v>6.53800002822876</v>
      </c>
      <c r="W268">
        <v>4.9099999999999998E-2</v>
      </c>
      <c r="X268">
        <v>6.5571307161450401</v>
      </c>
      <c r="Y268">
        <v>6.8010000000000002</v>
      </c>
      <c r="Z268">
        <v>1.1482676871948241</v>
      </c>
      <c r="AA268">
        <v>1.1869375162506099</v>
      </c>
      <c r="AB268">
        <v>1.44</v>
      </c>
      <c r="AC268">
        <v>0.77602322692108161</v>
      </c>
      <c r="AD268">
        <v>0.5388793668022156</v>
      </c>
      <c r="AE268">
        <v>7.2982784794330596E-2</v>
      </c>
      <c r="AF268">
        <v>0.186139387848854</v>
      </c>
    </row>
    <row r="269" spans="4:32" x14ac:dyDescent="0.35">
      <c r="D269" s="11" t="s">
        <v>72</v>
      </c>
      <c r="E269">
        <v>5</v>
      </c>
      <c r="F269">
        <v>64</v>
      </c>
      <c r="G269">
        <v>5.6666000061035167</v>
      </c>
      <c r="H269">
        <v>4.5629999999999997E-2</v>
      </c>
      <c r="I269">
        <v>5.4530000000000003</v>
      </c>
      <c r="J269">
        <v>5.6230000000000002</v>
      </c>
      <c r="K269">
        <v>0.85522346345520006</v>
      </c>
      <c r="L269">
        <v>1.3077216265614833</v>
      </c>
      <c r="M269">
        <v>1.4984999999999999</v>
      </c>
      <c r="N269">
        <v>0.64303613866424558</v>
      </c>
      <c r="O269">
        <v>0.5059695583515168</v>
      </c>
      <c r="P269">
        <v>8.0289182687759392E-2</v>
      </c>
      <c r="Q269">
        <v>0.23310213153076181</v>
      </c>
      <c r="S269" t="s">
        <v>72</v>
      </c>
      <c r="T269">
        <v>5</v>
      </c>
      <c r="U269">
        <v>64</v>
      </c>
      <c r="V269">
        <v>5.6666000061035167</v>
      </c>
      <c r="W269">
        <v>4.5629999999999997E-2</v>
      </c>
      <c r="X269">
        <v>5.4530000000000003</v>
      </c>
      <c r="Y269">
        <v>5.6230000000000002</v>
      </c>
      <c r="Z269">
        <v>0.85522346345520006</v>
      </c>
      <c r="AA269">
        <v>1.3077216265614833</v>
      </c>
      <c r="AB269">
        <v>1.4984999999999999</v>
      </c>
      <c r="AC269">
        <v>0.64303613866424558</v>
      </c>
      <c r="AD269">
        <v>0.5059695583515168</v>
      </c>
      <c r="AE269">
        <v>8.0289182687759392E-2</v>
      </c>
      <c r="AF269">
        <v>0.23310213153076181</v>
      </c>
    </row>
    <row r="270" spans="4:32" x14ac:dyDescent="0.35">
      <c r="D270" s="11" t="s">
        <v>77</v>
      </c>
      <c r="E270">
        <v>5</v>
      </c>
      <c r="F270">
        <v>63</v>
      </c>
      <c r="G270">
        <v>5.7284000305175784</v>
      </c>
      <c r="H270">
        <v>4.6149999999999997E-2</v>
      </c>
      <c r="I270">
        <v>5.6470000000000002</v>
      </c>
      <c r="J270">
        <v>5.8390000000000004</v>
      </c>
      <c r="K270">
        <v>0.96508705443572995</v>
      </c>
      <c r="L270">
        <v>1.0019701282628366</v>
      </c>
      <c r="M270">
        <v>1.2615000000000001</v>
      </c>
      <c r="N270">
        <v>0.70365522267532343</v>
      </c>
      <c r="O270">
        <v>0.4449965757808686</v>
      </c>
      <c r="P270">
        <v>4.4171817308187478E-2</v>
      </c>
      <c r="Q270">
        <v>0.11938194298076618</v>
      </c>
      <c r="S270" t="s">
        <v>77</v>
      </c>
      <c r="T270">
        <v>5</v>
      </c>
      <c r="U270">
        <v>63</v>
      </c>
      <c r="V270">
        <v>5.7284000305175784</v>
      </c>
      <c r="W270">
        <v>4.6149999999999997E-2</v>
      </c>
      <c r="X270">
        <v>5.6470000000000002</v>
      </c>
      <c r="Y270">
        <v>5.8390000000000004</v>
      </c>
      <c r="Z270">
        <v>0.96508705443572995</v>
      </c>
      <c r="AA270">
        <v>1.0019701282628366</v>
      </c>
      <c r="AB270">
        <v>1.2615000000000001</v>
      </c>
      <c r="AC270">
        <v>0.70365522267532343</v>
      </c>
      <c r="AD270">
        <v>0.4449965757808686</v>
      </c>
      <c r="AE270">
        <v>4.4171817308187478E-2</v>
      </c>
      <c r="AF270">
        <v>0.11938194298076618</v>
      </c>
    </row>
    <row r="271" spans="4:32" x14ac:dyDescent="0.35">
      <c r="D271" s="11" t="s">
        <v>111</v>
      </c>
      <c r="E271">
        <v>5</v>
      </c>
      <c r="F271">
        <v>76.8</v>
      </c>
      <c r="G271">
        <v>5.3873999656677238</v>
      </c>
      <c r="H271">
        <v>4.9340000000000002E-2</v>
      </c>
      <c r="I271">
        <v>5.16</v>
      </c>
      <c r="J271">
        <v>5.3979999999999997</v>
      </c>
      <c r="K271">
        <v>0.79143784308242793</v>
      </c>
      <c r="L271">
        <v>1.0559491916275034</v>
      </c>
      <c r="M271">
        <v>1.3025</v>
      </c>
      <c r="N271">
        <v>0.53790181093215939</v>
      </c>
      <c r="O271">
        <v>0.59204093489456167</v>
      </c>
      <c r="P271">
        <v>0.11033837860536574</v>
      </c>
      <c r="Q271">
        <v>0.17943268464088441</v>
      </c>
      <c r="S271" t="s">
        <v>111</v>
      </c>
      <c r="T271">
        <v>5</v>
      </c>
      <c r="U271">
        <v>76.8</v>
      </c>
      <c r="V271">
        <v>5.3873999656677238</v>
      </c>
      <c r="W271">
        <v>4.9340000000000002E-2</v>
      </c>
      <c r="X271">
        <v>5.16</v>
      </c>
      <c r="Y271">
        <v>5.3979999999999997</v>
      </c>
      <c r="Z271">
        <v>0.79143784308242793</v>
      </c>
      <c r="AA271">
        <v>1.0559491916275034</v>
      </c>
      <c r="AB271">
        <v>1.3025</v>
      </c>
      <c r="AC271">
        <v>0.53790181093215939</v>
      </c>
      <c r="AD271">
        <v>0.59204093489456167</v>
      </c>
      <c r="AE271">
        <v>0.11033837860536574</v>
      </c>
      <c r="AF271">
        <v>0.17943268464088441</v>
      </c>
    </row>
    <row r="272" spans="4:32" x14ac:dyDescent="0.35">
      <c r="D272" s="11" t="s">
        <v>79</v>
      </c>
      <c r="E272">
        <v>5</v>
      </c>
      <c r="F272">
        <v>49</v>
      </c>
      <c r="G272">
        <v>5.9808000099182124</v>
      </c>
      <c r="H272">
        <v>4.2630000000000001E-2</v>
      </c>
      <c r="I272">
        <v>5.7489999999999997</v>
      </c>
      <c r="J272">
        <v>5.9210000000000003</v>
      </c>
      <c r="K272">
        <v>1.2090375725555418</v>
      </c>
      <c r="L272">
        <v>1.2573473234430932</v>
      </c>
      <c r="M272">
        <v>1.4430000000000001</v>
      </c>
      <c r="N272">
        <v>0.76681706959915164</v>
      </c>
      <c r="O272">
        <v>0.50649242231750491</v>
      </c>
      <c r="P272">
        <v>5.408556123876572E-2</v>
      </c>
      <c r="Q272">
        <v>0.13909719331645959</v>
      </c>
      <c r="S272" t="s">
        <v>79</v>
      </c>
      <c r="T272">
        <v>5</v>
      </c>
      <c r="U272">
        <v>49</v>
      </c>
      <c r="V272">
        <v>5.9808000099182124</v>
      </c>
      <c r="W272">
        <v>4.2630000000000001E-2</v>
      </c>
      <c r="X272">
        <v>5.7489999999999997</v>
      </c>
      <c r="Y272">
        <v>5.9210000000000003</v>
      </c>
      <c r="Z272">
        <v>1.2090375725555418</v>
      </c>
      <c r="AA272">
        <v>1.2573473234430932</v>
      </c>
      <c r="AB272">
        <v>1.4430000000000001</v>
      </c>
      <c r="AC272">
        <v>0.76681706959915164</v>
      </c>
      <c r="AD272">
        <v>0.50649242231750491</v>
      </c>
      <c r="AE272">
        <v>5.408556123876572E-2</v>
      </c>
      <c r="AF272">
        <v>0.13909719331645959</v>
      </c>
    </row>
    <row r="273" spans="4:32" x14ac:dyDescent="0.35">
      <c r="D273" s="11" t="s">
        <v>109</v>
      </c>
      <c r="E273">
        <v>5</v>
      </c>
      <c r="F273">
        <v>82.8</v>
      </c>
      <c r="G273">
        <v>5.3046000343322763</v>
      </c>
      <c r="H273">
        <v>4.802E-2</v>
      </c>
      <c r="I273">
        <v>5.03</v>
      </c>
      <c r="J273">
        <v>5.2160000000000002</v>
      </c>
      <c r="K273">
        <v>1.2320310589752199</v>
      </c>
      <c r="L273">
        <v>1.1500210061136869</v>
      </c>
      <c r="M273">
        <v>1.4300000000000002</v>
      </c>
      <c r="N273">
        <v>0.86953270832443241</v>
      </c>
      <c r="O273">
        <v>0.50608505992126462</v>
      </c>
      <c r="P273">
        <v>1.6771890337347981E-2</v>
      </c>
      <c r="Q273">
        <v>9.0240542502403251E-2</v>
      </c>
      <c r="S273" t="s">
        <v>109</v>
      </c>
      <c r="T273">
        <v>5</v>
      </c>
      <c r="U273">
        <v>82.8</v>
      </c>
      <c r="V273">
        <v>5.3046000343322763</v>
      </c>
      <c r="W273">
        <v>4.802E-2</v>
      </c>
      <c r="X273">
        <v>5.03</v>
      </c>
      <c r="Y273">
        <v>5.2160000000000002</v>
      </c>
      <c r="Z273">
        <v>1.2320310589752199</v>
      </c>
      <c r="AA273">
        <v>1.1500210061136869</v>
      </c>
      <c r="AB273">
        <v>1.4300000000000002</v>
      </c>
      <c r="AC273">
        <v>0.86953270832443241</v>
      </c>
      <c r="AD273">
        <v>0.50608505992126462</v>
      </c>
      <c r="AE273">
        <v>1.6771890337347981E-2</v>
      </c>
      <c r="AF273">
        <v>9.0240542502403251E-2</v>
      </c>
    </row>
    <row r="274" spans="4:32" x14ac:dyDescent="0.35">
      <c r="D274" s="11" t="s">
        <v>207</v>
      </c>
      <c r="E274">
        <v>1</v>
      </c>
      <c r="F274">
        <v>15</v>
      </c>
      <c r="G274">
        <v>7.0389999999999997</v>
      </c>
      <c r="I274">
        <v>6.7939999999999996</v>
      </c>
      <c r="J274">
        <v>7.2839999999999998</v>
      </c>
      <c r="K274">
        <v>1.3594299999999999</v>
      </c>
      <c r="L274">
        <v>1.0811299999999999</v>
      </c>
      <c r="N274">
        <v>0.77758000000000005</v>
      </c>
      <c r="O274">
        <v>0.46822999999999998</v>
      </c>
      <c r="P274">
        <v>0.12275</v>
      </c>
      <c r="Q274">
        <v>0.22202</v>
      </c>
      <c r="S274" t="s">
        <v>207</v>
      </c>
      <c r="T274">
        <v>1</v>
      </c>
      <c r="U274">
        <v>15</v>
      </c>
      <c r="V274">
        <v>7.0389999999999997</v>
      </c>
      <c r="X274">
        <v>6.7939999999999996</v>
      </c>
      <c r="Y274">
        <v>7.2839999999999998</v>
      </c>
      <c r="Z274">
        <v>1.3594299999999999</v>
      </c>
      <c r="AA274">
        <v>1.0811299999999999</v>
      </c>
      <c r="AC274">
        <v>0.77758000000000005</v>
      </c>
      <c r="AD274">
        <v>0.46822999999999998</v>
      </c>
      <c r="AE274">
        <v>0.12275</v>
      </c>
      <c r="AF274">
        <v>0.22202</v>
      </c>
    </row>
    <row r="275" spans="4:32" x14ac:dyDescent="0.35">
      <c r="D275" s="11" t="s">
        <v>45</v>
      </c>
      <c r="E275">
        <v>5</v>
      </c>
      <c r="F275">
        <v>32</v>
      </c>
      <c r="G275">
        <v>6.4218000000000002</v>
      </c>
      <c r="H275">
        <v>6.2570000000000001E-2</v>
      </c>
      <c r="I275">
        <v>6.1779999999999999</v>
      </c>
      <c r="J275">
        <v>6.5720000000000001</v>
      </c>
      <c r="K275">
        <v>1.7436911372070321</v>
      </c>
      <c r="L275">
        <v>1.0775122932561232</v>
      </c>
      <c r="M275">
        <v>1.3079999999999998</v>
      </c>
      <c r="N275">
        <v>0.76873161755752561</v>
      </c>
      <c r="O275">
        <v>0.60406419667053224</v>
      </c>
      <c r="P275">
        <v>0.35597385112190238</v>
      </c>
      <c r="Q275">
        <v>0.29121677400779722</v>
      </c>
      <c r="S275" t="s">
        <v>45</v>
      </c>
      <c r="T275">
        <v>5</v>
      </c>
      <c r="U275">
        <v>32</v>
      </c>
      <c r="V275">
        <v>6.4218000000000002</v>
      </c>
      <c r="W275">
        <v>6.2570000000000001E-2</v>
      </c>
      <c r="X275">
        <v>6.1779999999999999</v>
      </c>
      <c r="Y275">
        <v>6.5720000000000001</v>
      </c>
      <c r="Z275">
        <v>1.7436911372070321</v>
      </c>
      <c r="AA275">
        <v>1.0775122932561232</v>
      </c>
      <c r="AB275">
        <v>1.3079999999999998</v>
      </c>
      <c r="AC275">
        <v>0.76873161755752561</v>
      </c>
      <c r="AD275">
        <v>0.60406419667053224</v>
      </c>
      <c r="AE275">
        <v>0.35597385112190238</v>
      </c>
      <c r="AF275">
        <v>0.29121677400779722</v>
      </c>
    </row>
    <row r="276" spans="4:32" x14ac:dyDescent="0.35">
      <c r="D276" s="11" t="s">
        <v>107</v>
      </c>
      <c r="E276">
        <v>5</v>
      </c>
      <c r="F276">
        <v>62.8</v>
      </c>
      <c r="G276">
        <v>5.6983999618530277</v>
      </c>
      <c r="H276">
        <v>6.6070000000000004E-2</v>
      </c>
      <c r="I276">
        <v>5.4269999999999996</v>
      </c>
      <c r="J276">
        <v>5.7303054617345301</v>
      </c>
      <c r="K276">
        <v>1.14176678226471</v>
      </c>
      <c r="L276">
        <v>0.92133376349131335</v>
      </c>
      <c r="M276">
        <v>1.2255</v>
      </c>
      <c r="N276">
        <v>0.73621566246414183</v>
      </c>
      <c r="O276">
        <v>0.43296074849128718</v>
      </c>
      <c r="P276">
        <v>4.7335801397860068E-3</v>
      </c>
      <c r="Q276">
        <v>0.1141779835453034</v>
      </c>
      <c r="S276" t="s">
        <v>107</v>
      </c>
      <c r="T276">
        <v>5</v>
      </c>
      <c r="U276">
        <v>62.8</v>
      </c>
      <c r="V276">
        <v>5.6983999618530277</v>
      </c>
      <c r="W276">
        <v>6.6070000000000004E-2</v>
      </c>
      <c r="X276">
        <v>5.4269999999999996</v>
      </c>
      <c r="Y276">
        <v>5.7303054617345301</v>
      </c>
      <c r="Z276">
        <v>1.14176678226471</v>
      </c>
      <c r="AA276">
        <v>0.92133376349131335</v>
      </c>
      <c r="AB276">
        <v>1.2255</v>
      </c>
      <c r="AC276">
        <v>0.73621566246414183</v>
      </c>
      <c r="AD276">
        <v>0.43296074849128718</v>
      </c>
      <c r="AE276">
        <v>4.7335801397860068E-3</v>
      </c>
      <c r="AF276">
        <v>0.1141779835453034</v>
      </c>
    </row>
    <row r="277" spans="4:32" x14ac:dyDescent="0.35">
      <c r="D277" s="11" t="s">
        <v>83</v>
      </c>
      <c r="E277">
        <v>5</v>
      </c>
      <c r="F277">
        <v>59.2</v>
      </c>
      <c r="G277">
        <v>5.7985999641418458</v>
      </c>
      <c r="H277">
        <v>3.1350000000000003E-2</v>
      </c>
      <c r="I277">
        <v>5.7889999999999997</v>
      </c>
      <c r="J277">
        <v>5.923</v>
      </c>
      <c r="K277">
        <v>1.1971396194305419</v>
      </c>
      <c r="L277">
        <v>1.2526874628957101</v>
      </c>
      <c r="M277">
        <v>1.4655</v>
      </c>
      <c r="N277">
        <v>0.62630386675262462</v>
      </c>
      <c r="O277">
        <v>0.36007862231445326</v>
      </c>
      <c r="P277">
        <v>3.0974576205730436E-2</v>
      </c>
      <c r="Q277">
        <v>4.5722764481306077E-2</v>
      </c>
      <c r="S277" t="s">
        <v>83</v>
      </c>
      <c r="T277">
        <v>5</v>
      </c>
      <c r="U277">
        <v>59.2</v>
      </c>
      <c r="V277">
        <v>5.7985999641418458</v>
      </c>
      <c r="W277">
        <v>3.1350000000000003E-2</v>
      </c>
      <c r="X277">
        <v>5.7889999999999997</v>
      </c>
      <c r="Y277">
        <v>5.923</v>
      </c>
      <c r="Z277">
        <v>1.1971396194305419</v>
      </c>
      <c r="AA277">
        <v>1.2526874628957101</v>
      </c>
      <c r="AB277">
        <v>1.4655</v>
      </c>
      <c r="AC277">
        <v>0.62630386675262462</v>
      </c>
      <c r="AD277">
        <v>0.36007862231445326</v>
      </c>
      <c r="AE277">
        <v>3.0974576205730436E-2</v>
      </c>
      <c r="AF277">
        <v>4.5722764481306077E-2</v>
      </c>
    </row>
    <row r="278" spans="4:32" x14ac:dyDescent="0.35">
      <c r="D278" s="11" t="s">
        <v>175</v>
      </c>
      <c r="E278">
        <v>5</v>
      </c>
      <c r="F278">
        <v>152</v>
      </c>
      <c r="G278">
        <v>3.4385999912261958</v>
      </c>
      <c r="H278">
        <v>3.4639999999999997E-2</v>
      </c>
      <c r="I278">
        <v>3.444</v>
      </c>
      <c r="J278">
        <v>3.5859999999999999</v>
      </c>
      <c r="K278">
        <v>0.32205717864799499</v>
      </c>
      <c r="L278">
        <v>0.77842234104792263</v>
      </c>
      <c r="M278">
        <v>0.80349999999999999</v>
      </c>
      <c r="N278">
        <v>0.41754296146202075</v>
      </c>
      <c r="O278">
        <v>0.58161077059936528</v>
      </c>
      <c r="P278">
        <v>0.47346800277137763</v>
      </c>
      <c r="Q278">
        <v>0.22631120587348943</v>
      </c>
      <c r="S278" t="s">
        <v>175</v>
      </c>
      <c r="T278">
        <v>5</v>
      </c>
      <c r="U278">
        <v>152</v>
      </c>
      <c r="V278">
        <v>3.4385999912261958</v>
      </c>
      <c r="W278">
        <v>3.4639999999999997E-2</v>
      </c>
      <c r="X278">
        <v>3.444</v>
      </c>
      <c r="Y278">
        <v>3.5859999999999999</v>
      </c>
      <c r="Z278">
        <v>0.32205717864799499</v>
      </c>
      <c r="AA278">
        <v>0.77842234104792263</v>
      </c>
      <c r="AB278">
        <v>0.80349999999999999</v>
      </c>
      <c r="AC278">
        <v>0.41754296146202075</v>
      </c>
      <c r="AD278">
        <v>0.58161077059936528</v>
      </c>
      <c r="AE278">
        <v>0.47346800277137763</v>
      </c>
      <c r="AF278">
        <v>0.22631120587348943</v>
      </c>
    </row>
    <row r="279" spans="4:32" x14ac:dyDescent="0.35">
      <c r="D279" s="11" t="s">
        <v>53</v>
      </c>
      <c r="E279">
        <v>5</v>
      </c>
      <c r="F279">
        <v>33.4</v>
      </c>
      <c r="G279">
        <v>6.3759999725341796</v>
      </c>
      <c r="H279">
        <v>4.6330000000000003E-2</v>
      </c>
      <c r="I279">
        <v>6.2869999999999999</v>
      </c>
      <c r="J279">
        <v>6.4710000000000001</v>
      </c>
      <c r="K279">
        <v>1.4395127110366821</v>
      </c>
      <c r="L279">
        <v>1.0729658663177499</v>
      </c>
      <c r="M279">
        <v>1.3439999999999999</v>
      </c>
      <c r="N279">
        <v>0.66621366594696041</v>
      </c>
      <c r="O279">
        <v>0.41745411448860159</v>
      </c>
      <c r="P279">
        <v>0.231550450958252</v>
      </c>
      <c r="Q279">
        <v>0.12344920277690878</v>
      </c>
      <c r="S279" t="s">
        <v>53</v>
      </c>
      <c r="T279">
        <v>5</v>
      </c>
      <c r="U279">
        <v>33.4</v>
      </c>
      <c r="V279">
        <v>6.3759999725341796</v>
      </c>
      <c r="W279">
        <v>4.6330000000000003E-2</v>
      </c>
      <c r="X279">
        <v>6.2869999999999999</v>
      </c>
      <c r="Y279">
        <v>6.4710000000000001</v>
      </c>
      <c r="Z279">
        <v>1.4395127110366821</v>
      </c>
      <c r="AA279">
        <v>1.0729658663177499</v>
      </c>
      <c r="AB279">
        <v>1.3439999999999999</v>
      </c>
      <c r="AC279">
        <v>0.66621366594696041</v>
      </c>
      <c r="AD279">
        <v>0.41745411448860159</v>
      </c>
      <c r="AE279">
        <v>0.231550450958252</v>
      </c>
      <c r="AF279">
        <v>0.12344920277690878</v>
      </c>
    </row>
    <row r="280" spans="4:32" x14ac:dyDescent="0.35">
      <c r="D280" s="11" t="s">
        <v>163</v>
      </c>
      <c r="E280">
        <v>5</v>
      </c>
      <c r="F280">
        <v>121</v>
      </c>
      <c r="G280">
        <v>4.3939999694824223</v>
      </c>
      <c r="H280">
        <v>3.6080000000000001E-2</v>
      </c>
      <c r="I280">
        <v>4.1509999999999998</v>
      </c>
      <c r="J280">
        <v>4.46839591354132</v>
      </c>
      <c r="K280">
        <v>0.433285804485321</v>
      </c>
      <c r="L280">
        <v>0.97668063691456997</v>
      </c>
      <c r="M280">
        <v>1.1254999999999999</v>
      </c>
      <c r="N280">
        <v>0.45066657051467895</v>
      </c>
      <c r="O280">
        <v>0.35084045334434505</v>
      </c>
      <c r="P280">
        <v>9.8680089593410403E-2</v>
      </c>
      <c r="Q280">
        <v>0.17478577863407141</v>
      </c>
      <c r="S280" t="s">
        <v>163</v>
      </c>
      <c r="T280">
        <v>5</v>
      </c>
      <c r="U280">
        <v>121</v>
      </c>
      <c r="V280">
        <v>4.3939999694824223</v>
      </c>
      <c r="W280">
        <v>3.6080000000000001E-2</v>
      </c>
      <c r="X280">
        <v>4.1509999999999998</v>
      </c>
      <c r="Y280">
        <v>4.46839591354132</v>
      </c>
      <c r="Z280">
        <v>0.433285804485321</v>
      </c>
      <c r="AA280">
        <v>0.97668063691456997</v>
      </c>
      <c r="AB280">
        <v>1.1254999999999999</v>
      </c>
      <c r="AC280">
        <v>0.45066657051467895</v>
      </c>
      <c r="AD280">
        <v>0.35084045334434505</v>
      </c>
      <c r="AE280">
        <v>9.8680089593410403E-2</v>
      </c>
      <c r="AF280">
        <v>0.17478577863407141</v>
      </c>
    </row>
    <row r="281" spans="4:32" x14ac:dyDescent="0.35">
      <c r="D281" s="11" t="s">
        <v>108</v>
      </c>
      <c r="E281">
        <v>5</v>
      </c>
      <c r="F281">
        <v>78.8</v>
      </c>
      <c r="G281">
        <v>5.3391999961853021</v>
      </c>
      <c r="H281">
        <v>4.8640000000000003E-2</v>
      </c>
      <c r="I281">
        <v>5.0830000000000002</v>
      </c>
      <c r="J281">
        <v>5.2984303057193802</v>
      </c>
      <c r="K281">
        <v>1.000643515853882</v>
      </c>
      <c r="L281">
        <v>1.0270399324671433</v>
      </c>
      <c r="M281">
        <v>1.3759999999999999</v>
      </c>
      <c r="N281">
        <v>0.71678893426132206</v>
      </c>
      <c r="O281">
        <v>0.22739310564994822</v>
      </c>
      <c r="P281">
        <v>3.8492756121873854E-2</v>
      </c>
      <c r="Q281">
        <v>0.1781611767635346</v>
      </c>
      <c r="S281" t="s">
        <v>108</v>
      </c>
      <c r="T281">
        <v>5</v>
      </c>
      <c r="U281">
        <v>78.8</v>
      </c>
      <c r="V281">
        <v>5.3391999961853021</v>
      </c>
      <c r="W281">
        <v>4.8640000000000003E-2</v>
      </c>
      <c r="X281">
        <v>5.0830000000000002</v>
      </c>
      <c r="Y281">
        <v>5.2984303057193802</v>
      </c>
      <c r="Z281">
        <v>1.000643515853882</v>
      </c>
      <c r="AA281">
        <v>1.0270399324671433</v>
      </c>
      <c r="AB281">
        <v>1.3759999999999999</v>
      </c>
      <c r="AC281">
        <v>0.71678893426132206</v>
      </c>
      <c r="AD281">
        <v>0.22739310564994822</v>
      </c>
      <c r="AE281">
        <v>3.8492756121873854E-2</v>
      </c>
      <c r="AF281">
        <v>0.1781611767635346</v>
      </c>
    </row>
    <row r="282" spans="4:32" x14ac:dyDescent="0.35">
      <c r="D282" s="11" t="s">
        <v>144</v>
      </c>
      <c r="E282">
        <v>5</v>
      </c>
      <c r="F282">
        <v>116.4</v>
      </c>
      <c r="G282">
        <v>4.5592000221252444</v>
      </c>
      <c r="H282">
        <v>7.0680000000000007E-2</v>
      </c>
      <c r="I282">
        <v>4.5049999999999999</v>
      </c>
      <c r="J282">
        <v>4.7649999999999997</v>
      </c>
      <c r="K282">
        <v>0.317502185743332</v>
      </c>
      <c r="L282">
        <v>0.85594868165969828</v>
      </c>
      <c r="M282">
        <v>0.82699999999999996</v>
      </c>
      <c r="N282">
        <v>4.9512950779497619E-2</v>
      </c>
      <c r="O282">
        <v>0.33958953819274895</v>
      </c>
      <c r="P282">
        <v>6.7783035208225262E-2</v>
      </c>
      <c r="Q282">
        <v>0.24737818028450018</v>
      </c>
      <c r="S282" t="s">
        <v>144</v>
      </c>
      <c r="T282">
        <v>5</v>
      </c>
      <c r="U282">
        <v>116.4</v>
      </c>
      <c r="V282">
        <v>4.5592000221252444</v>
      </c>
      <c r="W282">
        <v>7.0680000000000007E-2</v>
      </c>
      <c r="X282">
        <v>4.5049999999999999</v>
      </c>
      <c r="Y282">
        <v>4.7649999999999997</v>
      </c>
      <c r="Z282">
        <v>0.317502185743332</v>
      </c>
      <c r="AA282">
        <v>0.85594868165969828</v>
      </c>
      <c r="AB282">
        <v>0.82699999999999996</v>
      </c>
      <c r="AC282">
        <v>4.9512950779497619E-2</v>
      </c>
      <c r="AD282">
        <v>0.33958953819274895</v>
      </c>
      <c r="AE282">
        <v>6.7783035208225262E-2</v>
      </c>
      <c r="AF282">
        <v>0.24737818028450018</v>
      </c>
    </row>
    <row r="283" spans="4:32" x14ac:dyDescent="0.35">
      <c r="D283" s="11" t="s">
        <v>40</v>
      </c>
      <c r="E283">
        <v>5</v>
      </c>
      <c r="F283">
        <v>28</v>
      </c>
      <c r="G283">
        <v>6.5428000053405757</v>
      </c>
      <c r="H283">
        <v>3.78E-2</v>
      </c>
      <c r="I283">
        <v>6.6367230691015697</v>
      </c>
      <c r="J283">
        <v>6.8040000000000003</v>
      </c>
      <c r="K283">
        <v>1.592137533981324</v>
      </c>
      <c r="L283">
        <v>1.0804647878265368</v>
      </c>
      <c r="M283">
        <v>1.4570000000000001</v>
      </c>
      <c r="N283">
        <v>1.0141864789848327</v>
      </c>
      <c r="O283">
        <v>0.55341211389923095</v>
      </c>
      <c r="P283">
        <v>0.46725555700683608</v>
      </c>
      <c r="Q283">
        <v>0.30321519629669175</v>
      </c>
      <c r="S283" t="s">
        <v>40</v>
      </c>
      <c r="T283">
        <v>5</v>
      </c>
      <c r="U283">
        <v>28</v>
      </c>
      <c r="V283">
        <v>6.5428000053405757</v>
      </c>
      <c r="W283">
        <v>3.78E-2</v>
      </c>
      <c r="X283">
        <v>6.6367230691015697</v>
      </c>
      <c r="Y283">
        <v>6.8040000000000003</v>
      </c>
      <c r="Z283">
        <v>1.592137533981324</v>
      </c>
      <c r="AA283">
        <v>1.0804647878265368</v>
      </c>
      <c r="AB283">
        <v>1.4570000000000001</v>
      </c>
      <c r="AC283">
        <v>1.0141864789848327</v>
      </c>
      <c r="AD283">
        <v>0.55341211389923095</v>
      </c>
      <c r="AE283">
        <v>0.46725555700683608</v>
      </c>
      <c r="AF283">
        <v>0.30321519629669175</v>
      </c>
    </row>
    <row r="284" spans="4:32" x14ac:dyDescent="0.35">
      <c r="D284" s="11" t="s">
        <v>64</v>
      </c>
      <c r="E284">
        <v>5</v>
      </c>
      <c r="F284">
        <v>41.4</v>
      </c>
      <c r="G284">
        <v>6.1084000099182116</v>
      </c>
      <c r="H284">
        <v>4.267E-2</v>
      </c>
      <c r="I284">
        <v>5.9960000000000004</v>
      </c>
      <c r="J284">
        <v>6.16</v>
      </c>
      <c r="K284">
        <v>1.246006711509704</v>
      </c>
      <c r="L284">
        <v>1.28590974741618</v>
      </c>
      <c r="M284">
        <v>1.5205</v>
      </c>
      <c r="N284">
        <v>0.77248458222198479</v>
      </c>
      <c r="O284">
        <v>0.30704749291801459</v>
      </c>
      <c r="P284">
        <v>2.3198170327901842E-2</v>
      </c>
      <c r="Q284">
        <v>0.13656889618396759</v>
      </c>
      <c r="S284" t="s">
        <v>64</v>
      </c>
      <c r="T284">
        <v>5</v>
      </c>
      <c r="U284">
        <v>41.4</v>
      </c>
      <c r="V284">
        <v>6.1084000099182116</v>
      </c>
      <c r="W284">
        <v>4.267E-2</v>
      </c>
      <c r="X284">
        <v>5.9960000000000004</v>
      </c>
      <c r="Y284">
        <v>6.16</v>
      </c>
      <c r="Z284">
        <v>1.246006711509704</v>
      </c>
      <c r="AA284">
        <v>1.28590974741618</v>
      </c>
      <c r="AB284">
        <v>1.5205</v>
      </c>
      <c r="AC284">
        <v>0.77248458222198479</v>
      </c>
      <c r="AD284">
        <v>0.30704749291801459</v>
      </c>
      <c r="AE284">
        <v>2.3198170327901842E-2</v>
      </c>
      <c r="AF284">
        <v>0.13656889618396759</v>
      </c>
    </row>
    <row r="285" spans="4:32" x14ac:dyDescent="0.35">
      <c r="D285" s="11" t="s">
        <v>74</v>
      </c>
      <c r="E285">
        <v>5</v>
      </c>
      <c r="F285">
        <v>55</v>
      </c>
      <c r="G285">
        <v>5.8879999794006341</v>
      </c>
      <c r="H285">
        <v>4.2509999999999999E-2</v>
      </c>
      <c r="I285">
        <v>5.6829999999999998</v>
      </c>
      <c r="J285">
        <v>5.8529999999999998</v>
      </c>
      <c r="K285">
        <v>1.26053119091034</v>
      </c>
      <c r="L285">
        <v>1.26083294025421</v>
      </c>
      <c r="M285">
        <v>1.5145</v>
      </c>
      <c r="N285">
        <v>0.85294164559936525</v>
      </c>
      <c r="O285">
        <v>0.58195316151428222</v>
      </c>
      <c r="P285">
        <v>4.5469795757770534E-2</v>
      </c>
      <c r="Q285">
        <v>0.21146181865406039</v>
      </c>
      <c r="S285" t="s">
        <v>74</v>
      </c>
      <c r="T285">
        <v>5</v>
      </c>
      <c r="U285">
        <v>55</v>
      </c>
      <c r="V285">
        <v>5.8879999794006341</v>
      </c>
      <c r="W285">
        <v>4.2509999999999999E-2</v>
      </c>
      <c r="X285">
        <v>5.6829999999999998</v>
      </c>
      <c r="Y285">
        <v>5.8529999999999998</v>
      </c>
      <c r="Z285">
        <v>1.26053119091034</v>
      </c>
      <c r="AA285">
        <v>1.26083294025421</v>
      </c>
      <c r="AB285">
        <v>1.5145</v>
      </c>
      <c r="AC285">
        <v>0.85294164559936525</v>
      </c>
      <c r="AD285">
        <v>0.58195316151428222</v>
      </c>
      <c r="AE285">
        <v>4.5469795757770534E-2</v>
      </c>
      <c r="AF285">
        <v>0.21146181865406039</v>
      </c>
    </row>
    <row r="286" spans="4:32" x14ac:dyDescent="0.35">
      <c r="D286" s="11" t="s">
        <v>209</v>
      </c>
      <c r="E286">
        <v>4</v>
      </c>
      <c r="F286">
        <v>94.75</v>
      </c>
      <c r="G286">
        <v>5.060250005722045</v>
      </c>
      <c r="I286">
        <v>5.2424837099015704</v>
      </c>
      <c r="J286">
        <v>5.5590000000000002</v>
      </c>
      <c r="K286">
        <v>5.6607960723340503E-3</v>
      </c>
      <c r="L286">
        <v>0.52864067596435549</v>
      </c>
      <c r="M286">
        <v>0.70499999999999996</v>
      </c>
      <c r="N286">
        <v>0.1529122842782735</v>
      </c>
      <c r="O286">
        <v>0.60072673899650575</v>
      </c>
      <c r="P286">
        <v>0.28655258090496077</v>
      </c>
      <c r="Q286">
        <v>0.26122032779455173</v>
      </c>
      <c r="S286" t="s">
        <v>209</v>
      </c>
      <c r="T286">
        <v>4</v>
      </c>
      <c r="U286">
        <v>94.75</v>
      </c>
      <c r="V286">
        <v>5.060250005722045</v>
      </c>
      <c r="X286">
        <v>5.2424837099015704</v>
      </c>
      <c r="Y286">
        <v>5.5590000000000002</v>
      </c>
      <c r="Z286">
        <v>5.6607960723340503E-3</v>
      </c>
      <c r="AA286">
        <v>0.52864067596435549</v>
      </c>
      <c r="AB286">
        <v>0.70499999999999996</v>
      </c>
      <c r="AC286">
        <v>0.1529122842782735</v>
      </c>
      <c r="AD286">
        <v>0.60072673899650575</v>
      </c>
      <c r="AE286">
        <v>0.28655258090496077</v>
      </c>
      <c r="AF286">
        <v>0.26122032779455173</v>
      </c>
    </row>
    <row r="287" spans="4:32" x14ac:dyDescent="0.35">
      <c r="D287" s="11" t="s">
        <v>112</v>
      </c>
      <c r="E287">
        <v>2</v>
      </c>
      <c r="F287">
        <v>94</v>
      </c>
      <c r="G287">
        <v>5.0570000000000004</v>
      </c>
      <c r="H287">
        <v>6.1609999999999998E-2</v>
      </c>
      <c r="I287">
        <v>4.9340000000000002</v>
      </c>
      <c r="J287">
        <v>5.18</v>
      </c>
      <c r="K287">
        <v>0.22202499999999997</v>
      </c>
      <c r="L287">
        <v>0.85507</v>
      </c>
      <c r="N287">
        <v>0.384905</v>
      </c>
      <c r="O287">
        <v>0.42856</v>
      </c>
      <c r="P287">
        <v>0.38361000000000001</v>
      </c>
      <c r="Q287">
        <v>0.50898500000000002</v>
      </c>
      <c r="S287" t="s">
        <v>112</v>
      </c>
      <c r="T287">
        <v>2</v>
      </c>
      <c r="U287">
        <v>94</v>
      </c>
      <c r="V287">
        <v>5.0570000000000004</v>
      </c>
      <c r="W287">
        <v>6.1609999999999998E-2</v>
      </c>
      <c r="X287">
        <v>4.9340000000000002</v>
      </c>
      <c r="Y287">
        <v>5.18</v>
      </c>
      <c r="Z287">
        <v>0.22202499999999997</v>
      </c>
      <c r="AA287">
        <v>0.85507</v>
      </c>
      <c r="AC287">
        <v>0.384905</v>
      </c>
      <c r="AD287">
        <v>0.42856</v>
      </c>
      <c r="AE287">
        <v>0.38361000000000001</v>
      </c>
      <c r="AF287">
        <v>0.50898500000000002</v>
      </c>
    </row>
    <row r="288" spans="4:32" x14ac:dyDescent="0.35">
      <c r="D288" s="11" t="s">
        <v>134</v>
      </c>
      <c r="E288">
        <v>5</v>
      </c>
      <c r="F288">
        <v>108.2</v>
      </c>
      <c r="G288">
        <v>4.6751999992370603</v>
      </c>
      <c r="H288">
        <v>4.5850000000000002E-2</v>
      </c>
      <c r="I288">
        <v>4.3710000000000004</v>
      </c>
      <c r="J288">
        <v>4.7285648046433897</v>
      </c>
      <c r="K288">
        <v>0.97986974113464387</v>
      </c>
      <c r="L288">
        <v>1.1766662107976267</v>
      </c>
      <c r="M288">
        <v>1.3805000000000001</v>
      </c>
      <c r="N288">
        <v>0.28981401407527924</v>
      </c>
      <c r="O288">
        <v>0.42822934711456301</v>
      </c>
      <c r="P288">
        <v>7.129989948081969E-2</v>
      </c>
      <c r="Q288">
        <v>0.12573047598171241</v>
      </c>
      <c r="S288" t="s">
        <v>134</v>
      </c>
      <c r="T288">
        <v>5</v>
      </c>
      <c r="U288">
        <v>108.2</v>
      </c>
      <c r="V288">
        <v>4.6751999992370603</v>
      </c>
      <c r="W288">
        <v>4.5850000000000002E-2</v>
      </c>
      <c r="X288">
        <v>4.3710000000000004</v>
      </c>
      <c r="Y288">
        <v>4.7285648046433897</v>
      </c>
      <c r="Z288">
        <v>0.97986974113464387</v>
      </c>
      <c r="AA288">
        <v>1.1766662107976267</v>
      </c>
      <c r="AB288">
        <v>1.3805000000000001</v>
      </c>
      <c r="AC288">
        <v>0.28981401407527924</v>
      </c>
      <c r="AD288">
        <v>0.42822934711456301</v>
      </c>
      <c r="AE288">
        <v>7.129989948081969E-2</v>
      </c>
      <c r="AF288">
        <v>0.12573047598171241</v>
      </c>
    </row>
    <row r="289" spans="4:32" x14ac:dyDescent="0.35">
      <c r="D289" s="11" t="s">
        <v>66</v>
      </c>
      <c r="E289">
        <v>5</v>
      </c>
      <c r="F289">
        <v>54</v>
      </c>
      <c r="G289">
        <v>5.885399964141846</v>
      </c>
      <c r="H289">
        <v>4.0980000000000003E-2</v>
      </c>
      <c r="I289">
        <v>5.7469999999999999</v>
      </c>
      <c r="J289">
        <v>5.923</v>
      </c>
      <c r="K289">
        <v>1.3145536885910041</v>
      </c>
      <c r="L289">
        <v>0.93598481358846009</v>
      </c>
      <c r="M289">
        <v>1.2115</v>
      </c>
      <c r="N289">
        <v>0.94860881520843487</v>
      </c>
      <c r="O289">
        <v>0.24893633318138125</v>
      </c>
      <c r="P289">
        <v>6.5202533718109135E-2</v>
      </c>
      <c r="Q289">
        <v>0.18609687343788139</v>
      </c>
      <c r="S289" t="s">
        <v>66</v>
      </c>
      <c r="T289">
        <v>5</v>
      </c>
      <c r="U289">
        <v>54</v>
      </c>
      <c r="V289">
        <v>5.885399964141846</v>
      </c>
      <c r="W289">
        <v>4.0980000000000003E-2</v>
      </c>
      <c r="X289">
        <v>5.7469999999999999</v>
      </c>
      <c r="Y289">
        <v>5.923</v>
      </c>
      <c r="Z289">
        <v>1.3145536885910041</v>
      </c>
      <c r="AA289">
        <v>0.93598481358846009</v>
      </c>
      <c r="AB289">
        <v>1.2115</v>
      </c>
      <c r="AC289">
        <v>0.94860881520843487</v>
      </c>
      <c r="AD289">
        <v>0.24893633318138125</v>
      </c>
      <c r="AE289">
        <v>6.5202533718109135E-2</v>
      </c>
      <c r="AF289">
        <v>0.18609687343788139</v>
      </c>
    </row>
    <row r="290" spans="4:32" x14ac:dyDescent="0.35">
      <c r="D290" s="11" t="s">
        <v>212</v>
      </c>
      <c r="E290">
        <v>4</v>
      </c>
      <c r="F290">
        <v>150</v>
      </c>
      <c r="G290">
        <v>3.3825000200271598</v>
      </c>
      <c r="I290">
        <v>3.5960000000000001</v>
      </c>
      <c r="J290">
        <v>4.0679999999999996</v>
      </c>
      <c r="K290">
        <v>0.35854715643882751</v>
      </c>
      <c r="L290">
        <v>0.393256563873291</v>
      </c>
      <c r="M290">
        <v>0.59149999999999991</v>
      </c>
      <c r="N290">
        <v>0.19832400096893299</v>
      </c>
      <c r="O290">
        <v>0.11642060893654824</v>
      </c>
      <c r="P290">
        <v>0.11098587832450874</v>
      </c>
      <c r="Q290">
        <v>0.24266520422458648</v>
      </c>
      <c r="S290" t="s">
        <v>212</v>
      </c>
      <c r="T290">
        <v>4</v>
      </c>
      <c r="U290">
        <v>150</v>
      </c>
      <c r="V290">
        <v>3.3825000200271598</v>
      </c>
      <c r="X290">
        <v>3.5960000000000001</v>
      </c>
      <c r="Y290">
        <v>4.0679999999999996</v>
      </c>
      <c r="Z290">
        <v>0.35854715643882751</v>
      </c>
      <c r="AA290">
        <v>0.393256563873291</v>
      </c>
      <c r="AB290">
        <v>0.59149999999999991</v>
      </c>
      <c r="AC290">
        <v>0.19832400096893299</v>
      </c>
      <c r="AD290">
        <v>0.11642060893654824</v>
      </c>
      <c r="AE290">
        <v>0.11098587832450874</v>
      </c>
      <c r="AF290">
        <v>0.24266520422458648</v>
      </c>
    </row>
    <row r="291" spans="4:32" x14ac:dyDescent="0.35">
      <c r="D291" s="11" t="s">
        <v>54</v>
      </c>
      <c r="E291">
        <v>5</v>
      </c>
      <c r="F291">
        <v>34.6</v>
      </c>
      <c r="G291">
        <v>6.3513999755859372</v>
      </c>
      <c r="H291">
        <v>3.4680000000000002E-2</v>
      </c>
      <c r="I291">
        <v>6.2880000000000003</v>
      </c>
      <c r="J291">
        <v>6.4340000000000002</v>
      </c>
      <c r="K291">
        <v>1.2988075728683479</v>
      </c>
      <c r="L291">
        <v>1.3251103007761635</v>
      </c>
      <c r="M291">
        <v>1.5110000000000001</v>
      </c>
      <c r="N291">
        <v>0.95010811997985845</v>
      </c>
      <c r="O291">
        <v>0.41094824608993541</v>
      </c>
      <c r="P291">
        <v>6.9852819426059726E-2</v>
      </c>
      <c r="Q291">
        <v>0.16881071432495121</v>
      </c>
      <c r="S291" t="s">
        <v>54</v>
      </c>
      <c r="T291">
        <v>5</v>
      </c>
      <c r="U291">
        <v>34.6</v>
      </c>
      <c r="V291">
        <v>6.3513999755859372</v>
      </c>
      <c r="W291">
        <v>3.4680000000000002E-2</v>
      </c>
      <c r="X291">
        <v>6.2880000000000003</v>
      </c>
      <c r="Y291">
        <v>6.4340000000000002</v>
      </c>
      <c r="Z291">
        <v>1.2988075728683479</v>
      </c>
      <c r="AA291">
        <v>1.3251103007761635</v>
      </c>
      <c r="AB291">
        <v>1.5110000000000001</v>
      </c>
      <c r="AC291">
        <v>0.95010811997985845</v>
      </c>
      <c r="AD291">
        <v>0.41094824608993541</v>
      </c>
      <c r="AE291">
        <v>6.9852819426059726E-2</v>
      </c>
      <c r="AF291">
        <v>0.16881071432495121</v>
      </c>
    </row>
    <row r="292" spans="4:32" x14ac:dyDescent="0.35">
      <c r="D292" s="11" t="s">
        <v>153</v>
      </c>
      <c r="E292">
        <v>5</v>
      </c>
      <c r="F292">
        <v>123</v>
      </c>
      <c r="G292">
        <v>4.3926000114440917</v>
      </c>
      <c r="H292">
        <v>3.7510000000000002E-2</v>
      </c>
      <c r="I292">
        <v>4.3220000000000001</v>
      </c>
      <c r="J292">
        <v>4.508</v>
      </c>
      <c r="K292">
        <v>0.93705402887725797</v>
      </c>
      <c r="L292">
        <v>1.04228546234131</v>
      </c>
      <c r="M292">
        <v>1.2894999999999999</v>
      </c>
      <c r="N292">
        <v>0.6912521664390564</v>
      </c>
      <c r="O292">
        <v>0.5323286509857178</v>
      </c>
      <c r="P292">
        <v>6.8416793237686152E-2</v>
      </c>
      <c r="Q292">
        <v>0.3839847123260498</v>
      </c>
      <c r="S292" t="s">
        <v>153</v>
      </c>
      <c r="T292">
        <v>5</v>
      </c>
      <c r="U292">
        <v>123</v>
      </c>
      <c r="V292">
        <v>4.3926000114440917</v>
      </c>
      <c r="W292">
        <v>3.7510000000000002E-2</v>
      </c>
      <c r="X292">
        <v>4.3220000000000001</v>
      </c>
      <c r="Y292">
        <v>4.508</v>
      </c>
      <c r="Z292">
        <v>0.93705402887725797</v>
      </c>
      <c r="AA292">
        <v>1.04228546234131</v>
      </c>
      <c r="AB292">
        <v>1.2894999999999999</v>
      </c>
      <c r="AC292">
        <v>0.6912521664390564</v>
      </c>
      <c r="AD292">
        <v>0.5323286509857178</v>
      </c>
      <c r="AE292">
        <v>6.8416793237686152E-2</v>
      </c>
      <c r="AF292">
        <v>0.3839847123260498</v>
      </c>
    </row>
    <row r="293" spans="4:32" x14ac:dyDescent="0.35">
      <c r="D293" s="11" t="s">
        <v>139</v>
      </c>
      <c r="E293">
        <v>4</v>
      </c>
      <c r="F293">
        <v>129.5</v>
      </c>
      <c r="G293">
        <v>4.2417499847412099</v>
      </c>
      <c r="H293">
        <v>6.7400000000000002E-2</v>
      </c>
      <c r="I293">
        <v>3.9279999999999999</v>
      </c>
      <c r="J293">
        <v>4.3499999999999996</v>
      </c>
      <c r="K293">
        <v>0.60406917304038998</v>
      </c>
      <c r="L293">
        <v>1.0157761899058033</v>
      </c>
      <c r="M293">
        <v>1.24</v>
      </c>
      <c r="N293">
        <v>0.31732270595312129</v>
      </c>
      <c r="O293">
        <v>3.2951463819816701E-2</v>
      </c>
      <c r="P293">
        <v>0.1047093799984455</v>
      </c>
      <c r="Q293">
        <v>0.1719268626606465</v>
      </c>
      <c r="S293" t="s">
        <v>139</v>
      </c>
      <c r="T293">
        <v>4</v>
      </c>
      <c r="U293">
        <v>129.5</v>
      </c>
      <c r="V293">
        <v>4.2417499847412099</v>
      </c>
      <c r="W293">
        <v>6.7400000000000002E-2</v>
      </c>
      <c r="X293">
        <v>3.9279999999999999</v>
      </c>
      <c r="Y293">
        <v>4.3499999999999996</v>
      </c>
      <c r="Z293">
        <v>0.60406917304038998</v>
      </c>
      <c r="AA293">
        <v>1.0157761899058033</v>
      </c>
      <c r="AB293">
        <v>1.24</v>
      </c>
      <c r="AC293">
        <v>0.31732270595312129</v>
      </c>
      <c r="AD293">
        <v>3.2951463819816701E-2</v>
      </c>
      <c r="AE293">
        <v>0.1047093799984455</v>
      </c>
      <c r="AF293">
        <v>0.1719268626606465</v>
      </c>
    </row>
    <row r="294" spans="4:32" x14ac:dyDescent="0.35">
      <c r="D294" s="11" t="s">
        <v>59</v>
      </c>
      <c r="E294">
        <v>2</v>
      </c>
      <c r="F294">
        <v>40</v>
      </c>
      <c r="G294">
        <v>6.2690000000000001</v>
      </c>
      <c r="H294">
        <v>9.8110000000000003E-2</v>
      </c>
      <c r="I294">
        <v>6.0730000000000004</v>
      </c>
      <c r="J294">
        <v>6.4649999999999999</v>
      </c>
      <c r="K294">
        <v>1.0461</v>
      </c>
      <c r="L294">
        <v>0.87532999999999994</v>
      </c>
      <c r="N294">
        <v>0.55876499999999996</v>
      </c>
      <c r="O294">
        <v>0.55945500000000004</v>
      </c>
      <c r="P294">
        <v>0.13162499999999999</v>
      </c>
      <c r="Q294">
        <v>0.16827999999999999</v>
      </c>
      <c r="S294" t="s">
        <v>59</v>
      </c>
      <c r="T294">
        <v>2</v>
      </c>
      <c r="U294">
        <v>40</v>
      </c>
      <c r="V294">
        <v>6.2690000000000001</v>
      </c>
      <c r="W294">
        <v>9.8110000000000003E-2</v>
      </c>
      <c r="X294">
        <v>6.0730000000000004</v>
      </c>
      <c r="Y294">
        <v>6.4649999999999999</v>
      </c>
      <c r="Z294">
        <v>1.0461</v>
      </c>
      <c r="AA294">
        <v>0.87532999999999994</v>
      </c>
      <c r="AC294">
        <v>0.55876499999999996</v>
      </c>
      <c r="AD294">
        <v>0.55945500000000004</v>
      </c>
      <c r="AE294">
        <v>0.13162499999999999</v>
      </c>
      <c r="AF294">
        <v>0.16827999999999999</v>
      </c>
    </row>
    <row r="295" spans="4:32" x14ac:dyDescent="0.35">
      <c r="D295" s="11" t="s">
        <v>122</v>
      </c>
      <c r="E295">
        <v>2</v>
      </c>
      <c r="F295">
        <v>118</v>
      </c>
      <c r="G295">
        <v>4.5395000000000003</v>
      </c>
      <c r="H295">
        <v>8.7419999999999998E-2</v>
      </c>
      <c r="K295">
        <v>0.76153000000000004</v>
      </c>
      <c r="L295">
        <v>1.07284</v>
      </c>
      <c r="M295">
        <v>1.149</v>
      </c>
      <c r="N295">
        <v>3.7830000000000003E-2</v>
      </c>
      <c r="O295">
        <v>0.30979000000000001</v>
      </c>
      <c r="P295">
        <v>8.2799999999999999E-2</v>
      </c>
      <c r="Q295">
        <v>0.12829499999999999</v>
      </c>
      <c r="S295" t="s">
        <v>122</v>
      </c>
      <c r="T295">
        <v>2</v>
      </c>
      <c r="U295">
        <v>118</v>
      </c>
      <c r="V295">
        <v>4.5395000000000003</v>
      </c>
      <c r="W295">
        <v>8.7419999999999998E-2</v>
      </c>
      <c r="Z295">
        <v>0.76153000000000004</v>
      </c>
      <c r="AA295">
        <v>1.07284</v>
      </c>
      <c r="AB295">
        <v>1.149</v>
      </c>
      <c r="AC295">
        <v>3.7830000000000003E-2</v>
      </c>
      <c r="AD295">
        <v>0.30979000000000001</v>
      </c>
      <c r="AE295">
        <v>8.2799999999999999E-2</v>
      </c>
      <c r="AF295">
        <v>0.12829499999999999</v>
      </c>
    </row>
    <row r="296" spans="4:32" x14ac:dyDescent="0.35">
      <c r="D296" s="11" t="s">
        <v>21</v>
      </c>
      <c r="E296">
        <v>5</v>
      </c>
      <c r="F296">
        <v>8.6</v>
      </c>
      <c r="G296">
        <v>7.3191999839782724</v>
      </c>
      <c r="H296">
        <v>3.1570000000000001E-2</v>
      </c>
      <c r="I296">
        <v>7.2270000000000003</v>
      </c>
      <c r="J296">
        <v>7.3550000000000004</v>
      </c>
      <c r="K296">
        <v>1.4039814538040161</v>
      </c>
      <c r="L296">
        <v>1.2849573898188267</v>
      </c>
      <c r="M296">
        <v>1.494</v>
      </c>
      <c r="N296">
        <v>0.89899103166198735</v>
      </c>
      <c r="O296">
        <v>0.61758081979370127</v>
      </c>
      <c r="P296">
        <v>0.39750174572181701</v>
      </c>
      <c r="Q296">
        <v>0.336511850435257</v>
      </c>
      <c r="S296" t="s">
        <v>21</v>
      </c>
      <c r="T296">
        <v>5</v>
      </c>
      <c r="U296">
        <v>8.6</v>
      </c>
      <c r="V296">
        <v>7.3191999839782724</v>
      </c>
      <c r="W296">
        <v>3.1570000000000001E-2</v>
      </c>
      <c r="X296">
        <v>7.2270000000000003</v>
      </c>
      <c r="Y296">
        <v>7.3550000000000004</v>
      </c>
      <c r="Z296">
        <v>1.4039814538040161</v>
      </c>
      <c r="AA296">
        <v>1.2849573898188267</v>
      </c>
      <c r="AB296">
        <v>1.494</v>
      </c>
      <c r="AC296">
        <v>0.89899103166198735</v>
      </c>
      <c r="AD296">
        <v>0.61758081979370127</v>
      </c>
      <c r="AE296">
        <v>0.39750174572181701</v>
      </c>
      <c r="AF296">
        <v>0.336511850435257</v>
      </c>
    </row>
    <row r="297" spans="4:32" x14ac:dyDescent="0.35">
      <c r="D297" s="11" t="s">
        <v>12</v>
      </c>
      <c r="E297">
        <v>5</v>
      </c>
      <c r="F297">
        <v>3.6</v>
      </c>
      <c r="G297">
        <v>7.5113999916076661</v>
      </c>
      <c r="H297">
        <v>3.4110000000000001E-2</v>
      </c>
      <c r="I297">
        <v>7.4279999999999999</v>
      </c>
      <c r="J297">
        <v>7.59</v>
      </c>
      <c r="K297">
        <v>1.4721639106445319</v>
      </c>
      <c r="L297">
        <v>1.3372205816904701</v>
      </c>
      <c r="M297">
        <v>1.5375000000000001</v>
      </c>
      <c r="N297">
        <v>0.9283182578964233</v>
      </c>
      <c r="O297">
        <v>0.62064211533355729</v>
      </c>
      <c r="P297">
        <v>0.37976345707130438</v>
      </c>
      <c r="Q297">
        <v>0.27743185565185541</v>
      </c>
      <c r="S297" t="s">
        <v>12</v>
      </c>
      <c r="T297">
        <v>5</v>
      </c>
      <c r="U297">
        <v>3.6</v>
      </c>
      <c r="V297">
        <v>7.5113999916076661</v>
      </c>
      <c r="W297">
        <v>3.4110000000000001E-2</v>
      </c>
      <c r="X297">
        <v>7.4279999999999999</v>
      </c>
      <c r="Y297">
        <v>7.59</v>
      </c>
      <c r="Z297">
        <v>1.4721639106445319</v>
      </c>
      <c r="AA297">
        <v>1.3372205816904701</v>
      </c>
      <c r="AB297">
        <v>1.5375000000000001</v>
      </c>
      <c r="AC297">
        <v>0.9283182578964233</v>
      </c>
      <c r="AD297">
        <v>0.62064211533355729</v>
      </c>
      <c r="AE297">
        <v>0.37976345707130438</v>
      </c>
      <c r="AF297">
        <v>0.27743185565185541</v>
      </c>
    </row>
    <row r="298" spans="4:32" x14ac:dyDescent="0.35">
      <c r="D298" s="11" t="s">
        <v>177</v>
      </c>
      <c r="E298">
        <v>5</v>
      </c>
      <c r="F298">
        <v>152.6</v>
      </c>
      <c r="G298">
        <v>3.2921999786376959</v>
      </c>
      <c r="H298">
        <v>5.015E-2</v>
      </c>
      <c r="I298">
        <v>2.9359999999999999</v>
      </c>
      <c r="J298">
        <v>3.2603312295675302</v>
      </c>
      <c r="K298">
        <v>0.6991086268692015</v>
      </c>
      <c r="L298">
        <v>0.33988420241673795</v>
      </c>
      <c r="M298">
        <v>0.38</v>
      </c>
      <c r="N298">
        <v>0.56628066847228997</v>
      </c>
      <c r="O298">
        <v>8.1699888925075542E-2</v>
      </c>
      <c r="P298">
        <v>0.1595474261074066</v>
      </c>
      <c r="Q298">
        <v>0.43128474564743036</v>
      </c>
      <c r="S298" t="s">
        <v>177</v>
      </c>
      <c r="T298">
        <v>5</v>
      </c>
      <c r="U298">
        <v>152.6</v>
      </c>
      <c r="V298">
        <v>3.2921999786376959</v>
      </c>
      <c r="W298">
        <v>5.015E-2</v>
      </c>
      <c r="X298">
        <v>2.9359999999999999</v>
      </c>
      <c r="Y298">
        <v>3.2603312295675302</v>
      </c>
      <c r="Z298">
        <v>0.6991086268692015</v>
      </c>
      <c r="AA298">
        <v>0.33988420241673795</v>
      </c>
      <c r="AB298">
        <v>0.38</v>
      </c>
      <c r="AC298">
        <v>0.56628066847228997</v>
      </c>
      <c r="AD298">
        <v>8.1699888925075542E-2</v>
      </c>
      <c r="AE298">
        <v>0.1595474261074066</v>
      </c>
      <c r="AF298">
        <v>0.43128474564743036</v>
      </c>
    </row>
    <row r="299" spans="4:32" x14ac:dyDescent="0.35">
      <c r="D299" s="11" t="s">
        <v>56</v>
      </c>
      <c r="E299">
        <v>4</v>
      </c>
      <c r="F299">
        <v>30.75</v>
      </c>
      <c r="G299">
        <v>6.391</v>
      </c>
      <c r="H299">
        <v>3.8679999999999999E-2</v>
      </c>
      <c r="I299">
        <v>6.3049999999999997</v>
      </c>
      <c r="J299">
        <v>6.4530000000000003</v>
      </c>
      <c r="K299">
        <v>1.3553175000000002</v>
      </c>
      <c r="L299">
        <v>1.0012050000000001</v>
      </c>
      <c r="M299">
        <v>1.4329999999999998</v>
      </c>
      <c r="N299">
        <v>0.86048749999999996</v>
      </c>
      <c r="O299">
        <v>0.3725425</v>
      </c>
      <c r="P299">
        <v>8.0647500000000011E-2</v>
      </c>
      <c r="Q299">
        <v>0.2254275</v>
      </c>
      <c r="S299" t="s">
        <v>56</v>
      </c>
      <c r="T299">
        <v>4</v>
      </c>
      <c r="U299">
        <v>30.75</v>
      </c>
      <c r="V299">
        <v>6.391</v>
      </c>
      <c r="W299">
        <v>3.8679999999999999E-2</v>
      </c>
      <c r="X299">
        <v>6.3049999999999997</v>
      </c>
      <c r="Y299">
        <v>6.4530000000000003</v>
      </c>
      <c r="Z299">
        <v>1.3553175000000002</v>
      </c>
      <c r="AA299">
        <v>1.0012050000000001</v>
      </c>
      <c r="AB299">
        <v>1.4329999999999998</v>
      </c>
      <c r="AC299">
        <v>0.86048749999999996</v>
      </c>
      <c r="AD299">
        <v>0.3725425</v>
      </c>
      <c r="AE299">
        <v>8.0647500000000011E-2</v>
      </c>
      <c r="AF299">
        <v>0.2254275</v>
      </c>
    </row>
    <row r="300" spans="4:32" x14ac:dyDescent="0.35">
      <c r="D300" s="11" t="s">
        <v>221</v>
      </c>
      <c r="E300">
        <v>1</v>
      </c>
      <c r="F300">
        <v>33</v>
      </c>
      <c r="G300">
        <v>6.4219999313354501</v>
      </c>
      <c r="I300">
        <v>6.4945960219204402</v>
      </c>
      <c r="J300">
        <v>6.34940384075046</v>
      </c>
      <c r="K300">
        <v>1.43362653255463</v>
      </c>
      <c r="L300">
        <v>1.38456535339355</v>
      </c>
      <c r="N300">
        <v>0.793984234333038</v>
      </c>
      <c r="O300">
        <v>0.36146658658981301</v>
      </c>
      <c r="P300">
        <v>6.3829235732555403E-2</v>
      </c>
      <c r="Q300">
        <v>0.258360475301743</v>
      </c>
      <c r="S300" t="s">
        <v>221</v>
      </c>
      <c r="T300">
        <v>1</v>
      </c>
      <c r="U300">
        <v>33</v>
      </c>
      <c r="V300">
        <v>6.4219999313354501</v>
      </c>
      <c r="X300">
        <v>6.4945960219204402</v>
      </c>
      <c r="Y300">
        <v>6.34940384075046</v>
      </c>
      <c r="Z300">
        <v>1.43362653255463</v>
      </c>
      <c r="AA300">
        <v>1.38456535339355</v>
      </c>
      <c r="AC300">
        <v>0.793984234333038</v>
      </c>
      <c r="AD300">
        <v>0.36146658658981301</v>
      </c>
      <c r="AE300">
        <v>6.3829235732555403E-2</v>
      </c>
      <c r="AF300">
        <v>0.258360475301743</v>
      </c>
    </row>
    <row r="301" spans="4:32" x14ac:dyDescent="0.35">
      <c r="D301" s="11" t="s">
        <v>127</v>
      </c>
      <c r="E301">
        <v>5</v>
      </c>
      <c r="F301">
        <v>92.8</v>
      </c>
      <c r="G301">
        <v>5.0977999778747556</v>
      </c>
      <c r="H301">
        <v>3.1980000000000001E-2</v>
      </c>
      <c r="I301">
        <v>4.923</v>
      </c>
      <c r="J301">
        <v>5.069</v>
      </c>
      <c r="K301">
        <v>0.4741067270889282</v>
      </c>
      <c r="L301">
        <v>0.96103775831858329</v>
      </c>
      <c r="M301">
        <v>1.1320000000000001</v>
      </c>
      <c r="N301">
        <v>0.59004302491760252</v>
      </c>
      <c r="O301">
        <v>0.41176134137916565</v>
      </c>
      <c r="P301">
        <v>0.12203742924880981</v>
      </c>
      <c r="Q301">
        <v>0.2311435287179946</v>
      </c>
      <c r="S301" t="s">
        <v>127</v>
      </c>
      <c r="T301">
        <v>5</v>
      </c>
      <c r="U301">
        <v>92.8</v>
      </c>
      <c r="V301">
        <v>5.0977999778747556</v>
      </c>
      <c r="W301">
        <v>3.1980000000000001E-2</v>
      </c>
      <c r="X301">
        <v>4.923</v>
      </c>
      <c r="Y301">
        <v>5.069</v>
      </c>
      <c r="Z301">
        <v>0.4741067270889282</v>
      </c>
      <c r="AA301">
        <v>0.96103775831858329</v>
      </c>
      <c r="AB301">
        <v>1.1320000000000001</v>
      </c>
      <c r="AC301">
        <v>0.59004302491760252</v>
      </c>
      <c r="AD301">
        <v>0.41176134137916565</v>
      </c>
      <c r="AE301">
        <v>0.12203742924880981</v>
      </c>
      <c r="AF301">
        <v>0.2311435287179946</v>
      </c>
    </row>
    <row r="302" spans="4:32" x14ac:dyDescent="0.35">
      <c r="D302" s="11" t="s">
        <v>167</v>
      </c>
      <c r="E302">
        <v>5</v>
      </c>
      <c r="F302">
        <v>150.80000000000001</v>
      </c>
      <c r="G302">
        <v>3.4659999954223637</v>
      </c>
      <c r="H302">
        <v>5.0610000000000002E-2</v>
      </c>
      <c r="I302">
        <v>3.4614297553896902</v>
      </c>
      <c r="J302">
        <v>3.7709999999999999</v>
      </c>
      <c r="K302">
        <v>0.43977717523574816</v>
      </c>
      <c r="L302">
        <v>0.94029993443807003</v>
      </c>
      <c r="M302">
        <v>0.93799999999999994</v>
      </c>
      <c r="N302">
        <v>0.39673185689926138</v>
      </c>
      <c r="O302">
        <v>0.38687955553627018</v>
      </c>
      <c r="P302">
        <v>8.3699021355628969E-2</v>
      </c>
      <c r="Q302">
        <v>0.31174927234458921</v>
      </c>
      <c r="S302" t="s">
        <v>167</v>
      </c>
      <c r="T302">
        <v>5</v>
      </c>
      <c r="U302">
        <v>150.80000000000001</v>
      </c>
      <c r="V302">
        <v>3.4659999954223637</v>
      </c>
      <c r="W302">
        <v>5.0610000000000002E-2</v>
      </c>
      <c r="X302">
        <v>3.4614297553896902</v>
      </c>
      <c r="Y302">
        <v>3.7709999999999999</v>
      </c>
      <c r="Z302">
        <v>0.43977717523574816</v>
      </c>
      <c r="AA302">
        <v>0.94029993443807003</v>
      </c>
      <c r="AB302">
        <v>0.93799999999999994</v>
      </c>
      <c r="AC302">
        <v>0.39673185689926138</v>
      </c>
      <c r="AD302">
        <v>0.38687955553627018</v>
      </c>
      <c r="AE302">
        <v>8.3699021355628969E-2</v>
      </c>
      <c r="AF302">
        <v>0.31174927234458921</v>
      </c>
    </row>
    <row r="303" spans="4:32" x14ac:dyDescent="0.35">
      <c r="D303" s="11" t="s">
        <v>52</v>
      </c>
      <c r="E303">
        <v>5</v>
      </c>
      <c r="F303">
        <v>39.4</v>
      </c>
      <c r="G303">
        <v>6.2865999572753894</v>
      </c>
      <c r="H303">
        <v>3.5569999999999997E-2</v>
      </c>
      <c r="I303">
        <v>6.3959999999999999</v>
      </c>
      <c r="J303">
        <v>6.5519999999999996</v>
      </c>
      <c r="K303">
        <v>1.0500137543106081</v>
      </c>
      <c r="L303">
        <v>1.2452008185577399</v>
      </c>
      <c r="M303">
        <v>1.413</v>
      </c>
      <c r="N303">
        <v>0.71397780588150017</v>
      </c>
      <c r="O303">
        <v>0.5652741463508606</v>
      </c>
      <c r="P303">
        <v>2.9762547048330302E-2</v>
      </c>
      <c r="Q303">
        <v>0.49167662205886842</v>
      </c>
      <c r="S303" t="s">
        <v>52</v>
      </c>
      <c r="T303">
        <v>5</v>
      </c>
      <c r="U303">
        <v>39.4</v>
      </c>
      <c r="V303">
        <v>6.2865999572753894</v>
      </c>
      <c r="W303">
        <v>3.5569999999999997E-2</v>
      </c>
      <c r="X303">
        <v>6.3959999999999999</v>
      </c>
      <c r="Y303">
        <v>6.5519999999999996</v>
      </c>
      <c r="Z303">
        <v>1.0500137543106081</v>
      </c>
      <c r="AA303">
        <v>1.2452008185577399</v>
      </c>
      <c r="AB303">
        <v>1.413</v>
      </c>
      <c r="AC303">
        <v>0.71397780588150017</v>
      </c>
      <c r="AD303">
        <v>0.5652741463508606</v>
      </c>
      <c r="AE303">
        <v>2.9762547048330302E-2</v>
      </c>
      <c r="AF303">
        <v>0.49167662205886842</v>
      </c>
    </row>
    <row r="304" spans="4:32" x14ac:dyDescent="0.35">
      <c r="D304" s="11" t="s">
        <v>179</v>
      </c>
      <c r="E304">
        <v>5</v>
      </c>
      <c r="F304">
        <v>148.19999999999999</v>
      </c>
      <c r="G304">
        <v>3.5441999771118162</v>
      </c>
      <c r="H304">
        <v>6.7269999999999996E-2</v>
      </c>
      <c r="I304">
        <v>3.1920000000000002</v>
      </c>
      <c r="J304">
        <v>3.4140000000000001</v>
      </c>
      <c r="K304">
        <v>0.26587094348144535</v>
      </c>
      <c r="L304">
        <v>0.19061084348360699</v>
      </c>
      <c r="M304">
        <v>0.52299999999999991</v>
      </c>
      <c r="N304">
        <v>0.28852911372947698</v>
      </c>
      <c r="O304">
        <v>0.36374722772788998</v>
      </c>
      <c r="P304">
        <v>0.10096900305604932</v>
      </c>
      <c r="Q304">
        <v>0.17477523014163979</v>
      </c>
      <c r="S304" t="s">
        <v>179</v>
      </c>
      <c r="T304">
        <v>5</v>
      </c>
      <c r="U304">
        <v>148.19999999999999</v>
      </c>
      <c r="V304">
        <v>3.5441999771118162</v>
      </c>
      <c r="W304">
        <v>6.7269999999999996E-2</v>
      </c>
      <c r="X304">
        <v>3.1920000000000002</v>
      </c>
      <c r="Y304">
        <v>3.4140000000000001</v>
      </c>
      <c r="Z304">
        <v>0.26587094348144535</v>
      </c>
      <c r="AA304">
        <v>0.19061084348360699</v>
      </c>
      <c r="AB304">
        <v>0.52299999999999991</v>
      </c>
      <c r="AC304">
        <v>0.28852911372947698</v>
      </c>
      <c r="AD304">
        <v>0.36374722772788998</v>
      </c>
      <c r="AE304">
        <v>0.10096900305604932</v>
      </c>
      <c r="AF304">
        <v>0.17477523014163979</v>
      </c>
    </row>
    <row r="305" spans="4:32" x14ac:dyDescent="0.35">
      <c r="D305" s="11" t="s">
        <v>232</v>
      </c>
      <c r="E305">
        <v>2</v>
      </c>
      <c r="F305">
        <v>38.5</v>
      </c>
      <c r="G305">
        <v>6.1920000000000002</v>
      </c>
      <c r="K305">
        <v>1.2270000000000001</v>
      </c>
      <c r="M305">
        <v>1.4845000000000002</v>
      </c>
      <c r="N305">
        <v>0.63849999999999996</v>
      </c>
      <c r="O305">
        <v>0.53200000000000003</v>
      </c>
      <c r="P305">
        <v>1.7500000000000002E-2</v>
      </c>
      <c r="Q305">
        <v>0.17799999999999999</v>
      </c>
      <c r="S305" t="s">
        <v>232</v>
      </c>
      <c r="T305">
        <v>2</v>
      </c>
      <c r="U305">
        <v>38.5</v>
      </c>
      <c r="V305">
        <v>6.1920000000000002</v>
      </c>
      <c r="Z305">
        <v>1.2270000000000001</v>
      </c>
      <c r="AB305">
        <v>1.4845000000000002</v>
      </c>
      <c r="AC305">
        <v>0.63849999999999996</v>
      </c>
      <c r="AD305">
        <v>0.53200000000000003</v>
      </c>
      <c r="AE305">
        <v>1.7500000000000002E-2</v>
      </c>
      <c r="AF305">
        <v>0.17799999999999999</v>
      </c>
    </row>
    <row r="306" spans="4:32" x14ac:dyDescent="0.35">
      <c r="D306" s="11" t="s">
        <v>60</v>
      </c>
      <c r="E306">
        <v>3</v>
      </c>
      <c r="F306">
        <v>40.666666666666664</v>
      </c>
      <c r="G306">
        <v>6.1680000737508136</v>
      </c>
      <c r="H306">
        <v>0.10895000000000001</v>
      </c>
      <c r="I306">
        <v>5.95</v>
      </c>
      <c r="J306">
        <v>6.3860000000000001</v>
      </c>
      <c r="K306">
        <v>1.2996353002548233</v>
      </c>
      <c r="L306">
        <v>1.1831528398132332</v>
      </c>
      <c r="N306">
        <v>0.553631097208659</v>
      </c>
      <c r="O306">
        <v>0.52066691434224432</v>
      </c>
      <c r="P306">
        <v>1.0924938702781996E-2</v>
      </c>
      <c r="Q306">
        <v>0.32102882052739473</v>
      </c>
      <c r="S306" t="s">
        <v>60</v>
      </c>
      <c r="T306">
        <v>3</v>
      </c>
      <c r="U306">
        <v>40.666666666666664</v>
      </c>
      <c r="V306">
        <v>6.1680000737508136</v>
      </c>
      <c r="W306">
        <v>0.10895000000000001</v>
      </c>
      <c r="X306">
        <v>5.95</v>
      </c>
      <c r="Y306">
        <v>6.3860000000000001</v>
      </c>
      <c r="Z306">
        <v>1.2996353002548233</v>
      </c>
      <c r="AA306">
        <v>1.1831528398132332</v>
      </c>
      <c r="AC306">
        <v>0.553631097208659</v>
      </c>
      <c r="AD306">
        <v>0.52066691434224432</v>
      </c>
      <c r="AE306">
        <v>1.0924938702781996E-2</v>
      </c>
      <c r="AF306">
        <v>0.32102882052739473</v>
      </c>
    </row>
    <row r="307" spans="4:32" x14ac:dyDescent="0.35">
      <c r="D307" s="11" t="s">
        <v>128</v>
      </c>
      <c r="E307">
        <v>5</v>
      </c>
      <c r="F307">
        <v>108.4</v>
      </c>
      <c r="G307">
        <v>4.728399965667724</v>
      </c>
      <c r="H307">
        <v>3.5889999999999998E-2</v>
      </c>
      <c r="I307">
        <v>4.8843670070171399</v>
      </c>
      <c r="J307">
        <v>5.125</v>
      </c>
      <c r="K307">
        <v>0.9373271612396239</v>
      </c>
      <c r="L307">
        <v>0.63476381983439134</v>
      </c>
      <c r="M307">
        <v>0.95300000000000007</v>
      </c>
      <c r="N307">
        <v>0.69038240980148313</v>
      </c>
      <c r="O307">
        <v>0.24517813791465765</v>
      </c>
      <c r="P307">
        <v>7.0000629764556871E-2</v>
      </c>
      <c r="Q307">
        <v>5.0472671439886097E-2</v>
      </c>
      <c r="S307" t="s">
        <v>128</v>
      </c>
      <c r="T307">
        <v>5</v>
      </c>
      <c r="U307">
        <v>108.4</v>
      </c>
      <c r="V307">
        <v>4.728399965667724</v>
      </c>
      <c r="W307">
        <v>3.5889999999999998E-2</v>
      </c>
      <c r="X307">
        <v>4.8843670070171399</v>
      </c>
      <c r="Y307">
        <v>5.125</v>
      </c>
      <c r="Z307">
        <v>0.9373271612396239</v>
      </c>
      <c r="AA307">
        <v>0.63476381983439134</v>
      </c>
      <c r="AB307">
        <v>0.95300000000000007</v>
      </c>
      <c r="AC307">
        <v>0.69038240980148313</v>
      </c>
      <c r="AD307">
        <v>0.24517813791465765</v>
      </c>
      <c r="AE307">
        <v>7.0000629764556871E-2</v>
      </c>
      <c r="AF307">
        <v>5.0472671439886097E-2</v>
      </c>
    </row>
    <row r="308" spans="4:32" x14ac:dyDescent="0.35">
      <c r="D308" s="11" t="s">
        <v>96</v>
      </c>
      <c r="E308">
        <v>5</v>
      </c>
      <c r="F308">
        <v>75.2</v>
      </c>
      <c r="G308">
        <v>5.4154</v>
      </c>
      <c r="H308">
        <v>3.8640000000000001E-2</v>
      </c>
      <c r="I308">
        <v>5.2949999999999999</v>
      </c>
      <c r="J308">
        <v>5.4829999999999997</v>
      </c>
      <c r="K308">
        <v>1.1510348748016361</v>
      </c>
      <c r="L308">
        <v>1.0537477255630501</v>
      </c>
      <c r="M308">
        <v>1.37</v>
      </c>
      <c r="N308">
        <v>0.7021011215019225</v>
      </c>
      <c r="O308">
        <v>0.25735611992645263</v>
      </c>
      <c r="P308">
        <v>0.11912231597948073</v>
      </c>
      <c r="Q308">
        <v>8.1058608384132383E-2</v>
      </c>
      <c r="S308" t="s">
        <v>96</v>
      </c>
      <c r="T308">
        <v>5</v>
      </c>
      <c r="U308">
        <v>75.2</v>
      </c>
      <c r="V308">
        <v>5.4154</v>
      </c>
      <c r="W308">
        <v>3.8640000000000001E-2</v>
      </c>
      <c r="X308">
        <v>5.2949999999999999</v>
      </c>
      <c r="Y308">
        <v>5.4829999999999997</v>
      </c>
      <c r="Z308">
        <v>1.1510348748016361</v>
      </c>
      <c r="AA308">
        <v>1.0537477255630501</v>
      </c>
      <c r="AB308">
        <v>1.37</v>
      </c>
      <c r="AC308">
        <v>0.7021011215019225</v>
      </c>
      <c r="AD308">
        <v>0.25735611992645263</v>
      </c>
      <c r="AE308">
        <v>0.11912231597948073</v>
      </c>
      <c r="AF308">
        <v>8.1058608384132383E-2</v>
      </c>
    </row>
    <row r="309" spans="4:32" x14ac:dyDescent="0.35">
      <c r="D309" s="11" t="s">
        <v>89</v>
      </c>
      <c r="E309">
        <v>5</v>
      </c>
      <c r="F309">
        <v>69.8</v>
      </c>
      <c r="G309">
        <v>5.5822000053405763</v>
      </c>
      <c r="H309">
        <v>4.1750000000000002E-2</v>
      </c>
      <c r="I309">
        <v>5.58</v>
      </c>
      <c r="J309">
        <v>5.7588191778957798</v>
      </c>
      <c r="K309">
        <v>1.0474833525924681</v>
      </c>
      <c r="L309">
        <v>1.2526663871129367</v>
      </c>
      <c r="M309">
        <v>1.5354999999999999</v>
      </c>
      <c r="N309">
        <v>0.51812921608352658</v>
      </c>
      <c r="O309">
        <v>0.41589038580512999</v>
      </c>
      <c r="P309">
        <v>0.18347606804084782</v>
      </c>
      <c r="Q309">
        <v>0.21767699751091002</v>
      </c>
      <c r="S309" t="s">
        <v>89</v>
      </c>
      <c r="T309">
        <v>5</v>
      </c>
      <c r="U309">
        <v>69.8</v>
      </c>
      <c r="V309">
        <v>5.5822000053405763</v>
      </c>
      <c r="W309">
        <v>4.1750000000000002E-2</v>
      </c>
      <c r="X309">
        <v>5.58</v>
      </c>
      <c r="Y309">
        <v>5.7588191778957798</v>
      </c>
      <c r="Z309">
        <v>1.0474833525924681</v>
      </c>
      <c r="AA309">
        <v>1.2526663871129367</v>
      </c>
      <c r="AB309">
        <v>1.5354999999999999</v>
      </c>
      <c r="AC309">
        <v>0.51812921608352658</v>
      </c>
      <c r="AD309">
        <v>0.41589038580512999</v>
      </c>
      <c r="AE309">
        <v>0.18347606804084782</v>
      </c>
      <c r="AF309">
        <v>0.21767699751091002</v>
      </c>
    </row>
    <row r="310" spans="4:32" x14ac:dyDescent="0.35">
      <c r="D310" s="11" t="s">
        <v>162</v>
      </c>
      <c r="E310">
        <v>5</v>
      </c>
      <c r="F310">
        <v>138</v>
      </c>
      <c r="G310">
        <v>4.0201999702453621</v>
      </c>
      <c r="H310">
        <v>4.317E-2</v>
      </c>
      <c r="I310">
        <v>3.629</v>
      </c>
      <c r="J310">
        <v>3.9661997354030598</v>
      </c>
      <c r="K310">
        <v>0.31872814306449904</v>
      </c>
      <c r="L310">
        <v>1.05754257926941</v>
      </c>
      <c r="M310">
        <v>1.0794999999999999</v>
      </c>
      <c r="N310">
        <v>0.28649852132511139</v>
      </c>
      <c r="O310">
        <v>0.42859719105720517</v>
      </c>
      <c r="P310">
        <v>6.3031943767547602E-2</v>
      </c>
      <c r="Q310">
        <v>0.27968921135520941</v>
      </c>
      <c r="S310" t="s">
        <v>162</v>
      </c>
      <c r="T310">
        <v>5</v>
      </c>
      <c r="U310">
        <v>138</v>
      </c>
      <c r="V310">
        <v>4.0201999702453621</v>
      </c>
      <c r="W310">
        <v>4.317E-2</v>
      </c>
      <c r="X310">
        <v>3.629</v>
      </c>
      <c r="Y310">
        <v>3.9661997354030598</v>
      </c>
      <c r="Z310">
        <v>0.31872814306449904</v>
      </c>
      <c r="AA310">
        <v>1.05754257926941</v>
      </c>
      <c r="AB310">
        <v>1.0794999999999999</v>
      </c>
      <c r="AC310">
        <v>0.28649852132511139</v>
      </c>
      <c r="AD310">
        <v>0.42859719105720517</v>
      </c>
      <c r="AE310">
        <v>6.3031943767547602E-2</v>
      </c>
      <c r="AF310">
        <v>0.27968921135520941</v>
      </c>
    </row>
    <row r="311" spans="4:32" x14ac:dyDescent="0.35">
      <c r="D311" s="11" t="s">
        <v>132</v>
      </c>
      <c r="E311">
        <v>5</v>
      </c>
      <c r="F311">
        <v>127.4</v>
      </c>
      <c r="G311">
        <v>4.3072000389099117</v>
      </c>
      <c r="H311">
        <v>4.4119999999999999E-2</v>
      </c>
      <c r="I311">
        <v>4.1854101045429699</v>
      </c>
      <c r="J311">
        <v>4.4119999999999999</v>
      </c>
      <c r="K311">
        <v>0.83591838988113398</v>
      </c>
      <c r="L311">
        <v>1.2038158560307834</v>
      </c>
      <c r="M311">
        <v>1.4015</v>
      </c>
      <c r="N311">
        <v>0.63681679042434702</v>
      </c>
      <c r="O311">
        <v>0.16875895514631281</v>
      </c>
      <c r="P311">
        <v>1.838589416325092E-2</v>
      </c>
      <c r="Q311">
        <v>0.20008829262351982</v>
      </c>
      <c r="S311" t="s">
        <v>132</v>
      </c>
      <c r="T311">
        <v>5</v>
      </c>
      <c r="U311">
        <v>127.4</v>
      </c>
      <c r="V311">
        <v>4.3072000389099117</v>
      </c>
      <c r="W311">
        <v>4.4119999999999999E-2</v>
      </c>
      <c r="X311">
        <v>4.1854101045429699</v>
      </c>
      <c r="Y311">
        <v>4.4119999999999999</v>
      </c>
      <c r="Z311">
        <v>0.83591838988113398</v>
      </c>
      <c r="AA311">
        <v>1.2038158560307834</v>
      </c>
      <c r="AB311">
        <v>1.4015</v>
      </c>
      <c r="AC311">
        <v>0.63681679042434702</v>
      </c>
      <c r="AD311">
        <v>0.16875895514631281</v>
      </c>
      <c r="AE311">
        <v>1.838589416325092E-2</v>
      </c>
      <c r="AF311">
        <v>0.20008829262351982</v>
      </c>
    </row>
    <row r="312" spans="4:32" x14ac:dyDescent="0.35">
      <c r="D312" s="11" t="s">
        <v>36</v>
      </c>
      <c r="E312">
        <v>5</v>
      </c>
      <c r="F312">
        <v>22</v>
      </c>
      <c r="G312">
        <v>6.7441999526977536</v>
      </c>
      <c r="H312">
        <v>3.7289999999999997E-2</v>
      </c>
      <c r="I312">
        <v>6.4939999999999998</v>
      </c>
      <c r="J312">
        <v>6.6520000000000001</v>
      </c>
      <c r="K312">
        <v>1.64522667389679</v>
      </c>
      <c r="L312">
        <v>1.0877667438634233</v>
      </c>
      <c r="M312">
        <v>1.0430000000000001</v>
      </c>
      <c r="N312">
        <v>0.75219564727401733</v>
      </c>
      <c r="O312">
        <v>0.53881305403137192</v>
      </c>
      <c r="P312">
        <v>0.3119823909258842</v>
      </c>
      <c r="Q312">
        <v>0.26782638930129998</v>
      </c>
      <c r="S312" t="s">
        <v>36</v>
      </c>
      <c r="T312">
        <v>5</v>
      </c>
      <c r="U312">
        <v>22</v>
      </c>
      <c r="V312">
        <v>6.7441999526977536</v>
      </c>
      <c r="W312">
        <v>3.7289999999999997E-2</v>
      </c>
      <c r="X312">
        <v>6.4939999999999998</v>
      </c>
      <c r="Y312">
        <v>6.6520000000000001</v>
      </c>
      <c r="Z312">
        <v>1.64522667389679</v>
      </c>
      <c r="AA312">
        <v>1.0877667438634233</v>
      </c>
      <c r="AB312">
        <v>1.0430000000000001</v>
      </c>
      <c r="AC312">
        <v>0.75219564727401733</v>
      </c>
      <c r="AD312">
        <v>0.53881305403137192</v>
      </c>
      <c r="AE312">
        <v>0.3119823909258842</v>
      </c>
      <c r="AF312">
        <v>0.26782638930129998</v>
      </c>
    </row>
    <row r="313" spans="4:32" x14ac:dyDescent="0.35">
      <c r="D313" s="11" t="s">
        <v>37</v>
      </c>
      <c r="E313">
        <v>5</v>
      </c>
      <c r="F313">
        <v>17.8</v>
      </c>
      <c r="G313">
        <v>6.9100000450134278</v>
      </c>
      <c r="H313">
        <v>1.866E-2</v>
      </c>
      <c r="I313">
        <v>6.6470000000000002</v>
      </c>
      <c r="J313">
        <v>6.8029999999999999</v>
      </c>
      <c r="K313">
        <v>1.3375667879486079</v>
      </c>
      <c r="L313">
        <v>1.28955336004893</v>
      </c>
      <c r="M313">
        <v>1.4855</v>
      </c>
      <c r="N313">
        <v>0.88173518778610216</v>
      </c>
      <c r="O313">
        <v>0.50376000716400138</v>
      </c>
      <c r="P313">
        <v>0.2440176132507324</v>
      </c>
      <c r="Q313">
        <v>0.4246908317432404</v>
      </c>
      <c r="S313" t="s">
        <v>37</v>
      </c>
      <c r="T313">
        <v>5</v>
      </c>
      <c r="U313">
        <v>17.8</v>
      </c>
      <c r="V313">
        <v>6.9100000450134278</v>
      </c>
      <c r="W313">
        <v>1.866E-2</v>
      </c>
      <c r="X313">
        <v>6.6470000000000002</v>
      </c>
      <c r="Y313">
        <v>6.8029999999999999</v>
      </c>
      <c r="Z313">
        <v>1.3375667879486079</v>
      </c>
      <c r="AA313">
        <v>1.28955336004893</v>
      </c>
      <c r="AB313">
        <v>1.4855</v>
      </c>
      <c r="AC313">
        <v>0.88173518778610216</v>
      </c>
      <c r="AD313">
        <v>0.50376000716400138</v>
      </c>
      <c r="AE313">
        <v>0.2440176132507324</v>
      </c>
      <c r="AF313">
        <v>0.4246908317432404</v>
      </c>
    </row>
    <row r="314" spans="4:32" x14ac:dyDescent="0.35">
      <c r="D314" s="11" t="s">
        <v>31</v>
      </c>
      <c r="E314">
        <v>5</v>
      </c>
      <c r="F314">
        <v>15.8</v>
      </c>
      <c r="G314">
        <v>6.9988000061035152</v>
      </c>
      <c r="H314">
        <v>3.8390000000000001E-2</v>
      </c>
      <c r="I314">
        <v>7.02</v>
      </c>
      <c r="J314">
        <v>7.1879999999999997</v>
      </c>
      <c r="K314">
        <v>1.4559458568038939</v>
      </c>
      <c r="L314">
        <v>1.2382835212326033</v>
      </c>
      <c r="M314">
        <v>1.464</v>
      </c>
      <c r="N314">
        <v>0.82161532555389394</v>
      </c>
      <c r="O314">
        <v>0.5068821046676637</v>
      </c>
      <c r="P314">
        <v>0.14084375766849522</v>
      </c>
      <c r="Q314">
        <v>0.35507975613021858</v>
      </c>
      <c r="S314" t="s">
        <v>31</v>
      </c>
      <c r="T314">
        <v>5</v>
      </c>
      <c r="U314">
        <v>15.8</v>
      </c>
      <c r="V314">
        <v>6.9988000061035152</v>
      </c>
      <c r="W314">
        <v>3.8390000000000001E-2</v>
      </c>
      <c r="X314">
        <v>7.02</v>
      </c>
      <c r="Y314">
        <v>7.1879999999999997</v>
      </c>
      <c r="Z314">
        <v>1.4559458568038939</v>
      </c>
      <c r="AA314">
        <v>1.2382835212326033</v>
      </c>
      <c r="AB314">
        <v>1.464</v>
      </c>
      <c r="AC314">
        <v>0.82161532555389394</v>
      </c>
      <c r="AD314">
        <v>0.5068821046676637</v>
      </c>
      <c r="AE314">
        <v>0.14084375766849522</v>
      </c>
      <c r="AF314">
        <v>0.35507975613021858</v>
      </c>
    </row>
    <row r="315" spans="4:32" x14ac:dyDescent="0.35">
      <c r="D315" s="11" t="s">
        <v>50</v>
      </c>
      <c r="E315">
        <v>5</v>
      </c>
      <c r="F315">
        <v>30.6</v>
      </c>
      <c r="G315">
        <v>6.4311999992370605</v>
      </c>
      <c r="H315">
        <v>4.539E-2</v>
      </c>
      <c r="I315">
        <v>6.4560000000000004</v>
      </c>
      <c r="J315">
        <v>6.6340000000000003</v>
      </c>
      <c r="K315">
        <v>1.135557939048768</v>
      </c>
      <c r="L315">
        <v>1.2175192896779368</v>
      </c>
      <c r="M315">
        <v>1.4620000000000002</v>
      </c>
      <c r="N315">
        <v>0.78292936471557617</v>
      </c>
      <c r="O315">
        <v>0.57497845087051402</v>
      </c>
      <c r="P315">
        <v>0.18851637454414361</v>
      </c>
      <c r="Q315">
        <v>0.16901138581466679</v>
      </c>
      <c r="S315" t="s">
        <v>50</v>
      </c>
      <c r="T315">
        <v>5</v>
      </c>
      <c r="U315">
        <v>30.6</v>
      </c>
      <c r="V315">
        <v>6.4311999992370605</v>
      </c>
      <c r="W315">
        <v>4.539E-2</v>
      </c>
      <c r="X315">
        <v>6.4560000000000004</v>
      </c>
      <c r="Y315">
        <v>6.6340000000000003</v>
      </c>
      <c r="Z315">
        <v>1.135557939048768</v>
      </c>
      <c r="AA315">
        <v>1.2175192896779368</v>
      </c>
      <c r="AB315">
        <v>1.4620000000000002</v>
      </c>
      <c r="AC315">
        <v>0.78292936471557617</v>
      </c>
      <c r="AD315">
        <v>0.57497845087051402</v>
      </c>
      <c r="AE315">
        <v>0.18851637454414361</v>
      </c>
      <c r="AF315">
        <v>0.16901138581466679</v>
      </c>
    </row>
    <row r="316" spans="4:32" x14ac:dyDescent="0.35">
      <c r="D316" s="11" t="s">
        <v>63</v>
      </c>
      <c r="E316">
        <v>5</v>
      </c>
      <c r="F316">
        <v>45</v>
      </c>
      <c r="G316">
        <v>6.0462000389099115</v>
      </c>
      <c r="H316">
        <v>4.3610000000000003E-2</v>
      </c>
      <c r="I316">
        <v>5.8959999999999999</v>
      </c>
      <c r="J316">
        <v>6.0780000000000003</v>
      </c>
      <c r="K316">
        <v>0.7237582175445556</v>
      </c>
      <c r="L316">
        <v>1.3524997165298467</v>
      </c>
      <c r="M316">
        <v>1.5565</v>
      </c>
      <c r="N316">
        <v>0.59172452551841737</v>
      </c>
      <c r="O316">
        <v>0.65598773258972165</v>
      </c>
      <c r="P316">
        <v>0.26742364463138579</v>
      </c>
      <c r="Q316">
        <v>0.32752272942161559</v>
      </c>
      <c r="S316" t="s">
        <v>63</v>
      </c>
      <c r="T316">
        <v>5</v>
      </c>
      <c r="U316">
        <v>45</v>
      </c>
      <c r="V316">
        <v>6.0462000389099115</v>
      </c>
      <c r="W316">
        <v>4.3610000000000003E-2</v>
      </c>
      <c r="X316">
        <v>5.8959999999999999</v>
      </c>
      <c r="Y316">
        <v>6.0780000000000003</v>
      </c>
      <c r="Z316">
        <v>0.7237582175445556</v>
      </c>
      <c r="AA316">
        <v>1.3524997165298467</v>
      </c>
      <c r="AB316">
        <v>1.5565</v>
      </c>
      <c r="AC316">
        <v>0.59172452551841737</v>
      </c>
      <c r="AD316">
        <v>0.65598773258972165</v>
      </c>
      <c r="AE316">
        <v>0.26742364463138579</v>
      </c>
      <c r="AF316">
        <v>0.32752272942161559</v>
      </c>
    </row>
    <row r="317" spans="4:32" x14ac:dyDescent="0.35">
      <c r="D317" s="11" t="s">
        <v>39</v>
      </c>
      <c r="E317">
        <v>5</v>
      </c>
      <c r="F317">
        <v>71.8</v>
      </c>
      <c r="G317">
        <v>5.5313999999999997</v>
      </c>
      <c r="H317">
        <v>6.4759999999999998E-2</v>
      </c>
      <c r="I317">
        <v>5.3700319455564003</v>
      </c>
      <c r="J317">
        <v>6.1950000000000003</v>
      </c>
      <c r="K317">
        <v>1.052468240196228</v>
      </c>
      <c r="L317">
        <v>1.2401058649953198</v>
      </c>
      <c r="M317">
        <v>1.448</v>
      </c>
      <c r="N317">
        <v>0.68374084540557867</v>
      </c>
      <c r="O317">
        <v>0.21370942464828499</v>
      </c>
      <c r="P317">
        <v>7.1444224592208866E-2</v>
      </c>
      <c r="Q317">
        <v>5.7185925979137422E-2</v>
      </c>
      <c r="S317" t="s">
        <v>39</v>
      </c>
      <c r="T317">
        <v>5</v>
      </c>
      <c r="U317">
        <v>71.8</v>
      </c>
      <c r="V317">
        <v>5.5313999999999997</v>
      </c>
      <c r="W317">
        <v>6.4759999999999998E-2</v>
      </c>
      <c r="X317">
        <v>5.3700319455564003</v>
      </c>
      <c r="Y317">
        <v>6.1950000000000003</v>
      </c>
      <c r="Z317">
        <v>1.052468240196228</v>
      </c>
      <c r="AA317">
        <v>1.2401058649953198</v>
      </c>
      <c r="AB317">
        <v>1.448</v>
      </c>
      <c r="AC317">
        <v>0.68374084540557867</v>
      </c>
      <c r="AD317">
        <v>0.21370942464828499</v>
      </c>
      <c r="AE317">
        <v>7.1444224592208866E-2</v>
      </c>
      <c r="AF317">
        <v>5.7185925979137422E-2</v>
      </c>
    </row>
    <row r="318" spans="4:32" x14ac:dyDescent="0.35">
      <c r="D318" s="11" t="s">
        <v>95</v>
      </c>
      <c r="E318">
        <v>5</v>
      </c>
      <c r="F318">
        <v>90.8</v>
      </c>
      <c r="G318">
        <v>5.1545999763488757</v>
      </c>
      <c r="H318">
        <v>3.107E-2</v>
      </c>
      <c r="I318">
        <v>4.9909999999999997</v>
      </c>
      <c r="J318">
        <v>5.1310000000000002</v>
      </c>
      <c r="K318">
        <v>0.72341551509475699</v>
      </c>
      <c r="L318">
        <v>0.99364044370015348</v>
      </c>
      <c r="M318">
        <v>1.3555000000000001</v>
      </c>
      <c r="N318">
        <v>0.72269979783630378</v>
      </c>
      <c r="O318">
        <v>0.57720711822128301</v>
      </c>
      <c r="P318">
        <v>9.1920647448539741E-2</v>
      </c>
      <c r="Q318">
        <v>0.19566361026287082</v>
      </c>
      <c r="S318" t="s">
        <v>95</v>
      </c>
      <c r="T318">
        <v>5</v>
      </c>
      <c r="U318">
        <v>90.8</v>
      </c>
      <c r="V318">
        <v>5.1545999763488757</v>
      </c>
      <c r="W318">
        <v>3.107E-2</v>
      </c>
      <c r="X318">
        <v>4.9909999999999997</v>
      </c>
      <c r="Y318">
        <v>5.1310000000000002</v>
      </c>
      <c r="Z318">
        <v>0.72341551509475699</v>
      </c>
      <c r="AA318">
        <v>0.99364044370015348</v>
      </c>
      <c r="AB318">
        <v>1.3555000000000001</v>
      </c>
      <c r="AC318">
        <v>0.72269979783630378</v>
      </c>
      <c r="AD318">
        <v>0.57720711822128301</v>
      </c>
      <c r="AE318">
        <v>9.1920647448539741E-2</v>
      </c>
      <c r="AF318">
        <v>0.19566361026287082</v>
      </c>
    </row>
    <row r="319" spans="4:32" x14ac:dyDescent="0.35">
      <c r="D319" s="11" t="s">
        <v>157</v>
      </c>
      <c r="E319">
        <v>5</v>
      </c>
      <c r="F319">
        <v>146.4</v>
      </c>
      <c r="G319">
        <v>3.6257999870300304</v>
      </c>
      <c r="H319">
        <v>4.367E-2</v>
      </c>
      <c r="I319">
        <v>3.621</v>
      </c>
      <c r="J319">
        <v>3.827</v>
      </c>
      <c r="K319">
        <v>0.48931268947219841</v>
      </c>
      <c r="L319">
        <v>0.69708074899037664</v>
      </c>
      <c r="M319">
        <v>1.1179999999999999</v>
      </c>
      <c r="N319">
        <v>0.36544018313789361</v>
      </c>
      <c r="O319">
        <v>0.24417474442195899</v>
      </c>
      <c r="P319">
        <v>6.7045484541177744E-2</v>
      </c>
      <c r="Q319">
        <v>9.6929041830539811E-2</v>
      </c>
      <c r="S319" t="s">
        <v>157</v>
      </c>
      <c r="T319">
        <v>5</v>
      </c>
      <c r="U319">
        <v>146.4</v>
      </c>
      <c r="V319">
        <v>3.6257999870300304</v>
      </c>
      <c r="W319">
        <v>4.367E-2</v>
      </c>
      <c r="X319">
        <v>3.621</v>
      </c>
      <c r="Y319">
        <v>3.827</v>
      </c>
      <c r="Z319">
        <v>0.48931268947219841</v>
      </c>
      <c r="AA319">
        <v>0.69708074899037664</v>
      </c>
      <c r="AB319">
        <v>1.1179999999999999</v>
      </c>
      <c r="AC319">
        <v>0.36544018313789361</v>
      </c>
      <c r="AD319">
        <v>0.24417474442195899</v>
      </c>
      <c r="AE319">
        <v>6.7045484541177744E-2</v>
      </c>
      <c r="AF319">
        <v>9.6929041830539811E-2</v>
      </c>
    </row>
    <row r="320" spans="4:32" x14ac:dyDescent="0.35">
      <c r="D320" s="11" t="s">
        <v>106</v>
      </c>
      <c r="E320">
        <v>5</v>
      </c>
      <c r="F320">
        <v>114</v>
      </c>
      <c r="G320">
        <v>4.5843999877929678</v>
      </c>
      <c r="H320">
        <v>6.9879999999999998E-2</v>
      </c>
      <c r="I320">
        <v>4.64410550147295</v>
      </c>
      <c r="J320">
        <v>4.9450000000000003</v>
      </c>
      <c r="K320">
        <v>0.57176135585784915</v>
      </c>
      <c r="L320">
        <v>0.85230243292490659</v>
      </c>
      <c r="M320">
        <v>1.0525</v>
      </c>
      <c r="N320">
        <v>0.3027611789646148</v>
      </c>
      <c r="O320">
        <v>0.46209869849967966</v>
      </c>
      <c r="P320">
        <v>9.7336710030078891E-2</v>
      </c>
      <c r="Q320">
        <v>0.2184300289764404</v>
      </c>
      <c r="S320" t="s">
        <v>106</v>
      </c>
      <c r="T320">
        <v>5</v>
      </c>
      <c r="U320">
        <v>114</v>
      </c>
      <c r="V320">
        <v>4.5843999877929678</v>
      </c>
      <c r="W320">
        <v>6.9879999999999998E-2</v>
      </c>
      <c r="X320">
        <v>4.64410550147295</v>
      </c>
      <c r="Y320">
        <v>4.9450000000000003</v>
      </c>
      <c r="Z320">
        <v>0.57176135585784915</v>
      </c>
      <c r="AA320">
        <v>0.85230243292490659</v>
      </c>
      <c r="AB320">
        <v>1.0525</v>
      </c>
      <c r="AC320">
        <v>0.3027611789646148</v>
      </c>
      <c r="AD320">
        <v>0.46209869849967966</v>
      </c>
      <c r="AE320">
        <v>9.7336710030078891E-2</v>
      </c>
      <c r="AF320">
        <v>0.2184300289764404</v>
      </c>
    </row>
    <row r="321" spans="4:32" x14ac:dyDescent="0.35">
      <c r="D321" s="11" t="s">
        <v>136</v>
      </c>
      <c r="E321">
        <v>5</v>
      </c>
      <c r="F321">
        <v>134.80000000000001</v>
      </c>
      <c r="G321">
        <v>4.0066000000000006</v>
      </c>
      <c r="H321">
        <v>4.2900000000000001E-2</v>
      </c>
      <c r="I321">
        <v>3.97869964271784</v>
      </c>
      <c r="J321">
        <v>4.2850000000000001</v>
      </c>
      <c r="K321">
        <v>0.34405130699348441</v>
      </c>
      <c r="L321">
        <v>0.94354530272165993</v>
      </c>
      <c r="M321">
        <v>1.1040000000000001</v>
      </c>
      <c r="N321">
        <v>0.2744027507781982</v>
      </c>
      <c r="O321">
        <v>0.3232568414020538</v>
      </c>
      <c r="P321">
        <v>8.9997076282024385E-2</v>
      </c>
      <c r="Q321">
        <v>0.16940869875431061</v>
      </c>
      <c r="S321" t="s">
        <v>136</v>
      </c>
      <c r="T321">
        <v>5</v>
      </c>
      <c r="U321">
        <v>134.80000000000001</v>
      </c>
      <c r="V321">
        <v>4.0066000000000006</v>
      </c>
      <c r="W321">
        <v>4.2900000000000001E-2</v>
      </c>
      <c r="X321">
        <v>3.97869964271784</v>
      </c>
      <c r="Y321">
        <v>4.2850000000000001</v>
      </c>
      <c r="Z321">
        <v>0.34405130699348441</v>
      </c>
      <c r="AA321">
        <v>0.94354530272165993</v>
      </c>
      <c r="AB321">
        <v>1.1040000000000001</v>
      </c>
      <c r="AC321">
        <v>0.2744027507781982</v>
      </c>
      <c r="AD321">
        <v>0.3232568414020538</v>
      </c>
      <c r="AE321">
        <v>8.9997076282024385E-2</v>
      </c>
      <c r="AF321">
        <v>0.16940869875431061</v>
      </c>
    </row>
    <row r="324" spans="4:32" x14ac:dyDescent="0.35">
      <c r="D324" t="s">
        <v>0</v>
      </c>
      <c r="E324" t="s">
        <v>310</v>
      </c>
      <c r="F324" t="s">
        <v>301</v>
      </c>
      <c r="G324" t="s">
        <v>302</v>
      </c>
      <c r="H324" t="s">
        <v>303</v>
      </c>
      <c r="I324" t="s">
        <v>255</v>
      </c>
      <c r="J324" t="s">
        <v>259</v>
      </c>
      <c r="K324" t="s">
        <v>304</v>
      </c>
      <c r="L324" t="s">
        <v>305</v>
      </c>
      <c r="M324" t="s">
        <v>306</v>
      </c>
      <c r="N324" t="s">
        <v>307</v>
      </c>
      <c r="O324" t="s">
        <v>308</v>
      </c>
      <c r="P324" t="s">
        <v>275</v>
      </c>
      <c r="Q324" t="s">
        <v>309</v>
      </c>
      <c r="S324" s="2"/>
    </row>
    <row r="325" spans="4:32" hidden="1" x14ac:dyDescent="0.35">
      <c r="D325" t="s">
        <v>174</v>
      </c>
      <c r="E325">
        <v>5</v>
      </c>
      <c r="F325">
        <v>149.4</v>
      </c>
      <c r="G325">
        <v>3.5127999820709221</v>
      </c>
      <c r="H325">
        <v>3.0839999999999999E-2</v>
      </c>
      <c r="I325">
        <v>3.2879999999999998</v>
      </c>
      <c r="J325">
        <v>3.7143384054303201</v>
      </c>
      <c r="K325">
        <v>0.35711344353485097</v>
      </c>
      <c r="L325">
        <v>0.33158777545928969</v>
      </c>
      <c r="M325">
        <v>0.52700000000000002</v>
      </c>
      <c r="N325">
        <v>0.25470735576915737</v>
      </c>
      <c r="O325">
        <v>0.117923904097557</v>
      </c>
      <c r="P325">
        <v>5.8093566011905684E-2</v>
      </c>
      <c r="Q325">
        <v>0.26773018651580821</v>
      </c>
    </row>
    <row r="326" spans="4:32" hidden="1" x14ac:dyDescent="0.35">
      <c r="D326" t="s">
        <v>116</v>
      </c>
      <c r="E326">
        <v>5</v>
      </c>
      <c r="F326">
        <v>106.4</v>
      </c>
      <c r="G326">
        <v>4.7126000106811521</v>
      </c>
      <c r="H326">
        <v>5.0130000000000001E-2</v>
      </c>
      <c r="I326">
        <v>4.5460000000000003</v>
      </c>
      <c r="J326">
        <v>4.7640000000000002</v>
      </c>
      <c r="K326">
        <v>0.93863255066299423</v>
      </c>
      <c r="L326">
        <v>0.70321841596603407</v>
      </c>
      <c r="M326">
        <v>0.83250000000000002</v>
      </c>
      <c r="N326">
        <v>0.78769594932937625</v>
      </c>
      <c r="O326">
        <v>0.37189772696304318</v>
      </c>
      <c r="P326">
        <v>4.3200843199968343E-2</v>
      </c>
      <c r="Q326">
        <v>0.16788658885860439</v>
      </c>
    </row>
    <row r="327" spans="4:32" hidden="1" x14ac:dyDescent="0.35">
      <c r="D327" t="s">
        <v>87</v>
      </c>
      <c r="E327">
        <v>5</v>
      </c>
      <c r="F327">
        <v>66.2</v>
      </c>
      <c r="G327">
        <v>5.667600043487548</v>
      </c>
      <c r="H327">
        <v>5.0990000000000001E-2</v>
      </c>
      <c r="I327">
        <v>5.9782864336669403</v>
      </c>
      <c r="J327">
        <v>6.4829999999999997</v>
      </c>
      <c r="K327">
        <v>1.012962893333436</v>
      </c>
      <c r="L327">
        <v>1.0190091551335667</v>
      </c>
      <c r="M327">
        <v>1.157</v>
      </c>
      <c r="N327">
        <v>0.66505692914962766</v>
      </c>
      <c r="O327">
        <v>0.17843716158390038</v>
      </c>
      <c r="P327">
        <v>0.14609922206878662</v>
      </c>
      <c r="Q327">
        <v>6.9219329399585722E-2</v>
      </c>
    </row>
    <row r="328" spans="4:32" hidden="1" x14ac:dyDescent="0.35">
      <c r="D328" t="s">
        <v>158</v>
      </c>
      <c r="E328">
        <v>4</v>
      </c>
      <c r="F328">
        <v>140</v>
      </c>
      <c r="G328">
        <v>3.8722500190734879</v>
      </c>
      <c r="H328">
        <v>4.7579999999999997E-2</v>
      </c>
      <c r="I328">
        <v>3.7530000000000001</v>
      </c>
      <c r="J328">
        <v>3.9790000000000001</v>
      </c>
      <c r="K328">
        <v>0.79837954505443576</v>
      </c>
      <c r="L328">
        <v>0.87615731988271006</v>
      </c>
      <c r="M328">
        <v>1.125</v>
      </c>
      <c r="N328">
        <v>0.13390216640889646</v>
      </c>
      <c r="O328">
        <v>2.7432500000000002E-2</v>
      </c>
      <c r="P328">
        <v>7.157008382618428E-2</v>
      </c>
      <c r="Q328">
        <v>0.10526912250220775</v>
      </c>
    </row>
    <row r="329" spans="4:32" hidden="1" x14ac:dyDescent="0.35">
      <c r="D329" t="s">
        <v>47</v>
      </c>
      <c r="E329">
        <v>5</v>
      </c>
      <c r="F329">
        <v>31.2</v>
      </c>
      <c r="G329">
        <v>6.4593999954223635</v>
      </c>
      <c r="H329">
        <v>4.6120000000000001E-2</v>
      </c>
      <c r="I329">
        <v>6.56</v>
      </c>
      <c r="J329">
        <v>6.74</v>
      </c>
      <c r="K329">
        <v>1.1110350925216683</v>
      </c>
      <c r="L329">
        <v>1.25160038172404</v>
      </c>
      <c r="M329">
        <v>1.45</v>
      </c>
      <c r="N329">
        <v>0.76089541670608529</v>
      </c>
      <c r="O329">
        <v>0.48161984078025821</v>
      </c>
      <c r="P329">
        <v>6.430797754287719E-2</v>
      </c>
      <c r="Q329">
        <v>9.2371412138938999E-2</v>
      </c>
    </row>
    <row r="330" spans="4:32" hidden="1" x14ac:dyDescent="0.35">
      <c r="D330" t="s">
        <v>148</v>
      </c>
      <c r="E330">
        <v>5</v>
      </c>
      <c r="F330">
        <v>122.8</v>
      </c>
      <c r="G330">
        <v>4.3931999855041504</v>
      </c>
      <c r="H330">
        <v>4.7629999999999999E-2</v>
      </c>
      <c r="I330">
        <v>4.266</v>
      </c>
      <c r="J330">
        <v>4.4539999999999997</v>
      </c>
      <c r="K330">
        <v>0.83913334757232649</v>
      </c>
      <c r="L330">
        <v>0.80312124025980669</v>
      </c>
      <c r="M330">
        <v>1.0225</v>
      </c>
      <c r="N330">
        <v>0.69785088519668581</v>
      </c>
      <c r="O330">
        <v>0.2160286534719468</v>
      </c>
      <c r="P330">
        <v>3.8766884300827982E-2</v>
      </c>
      <c r="Q330">
        <v>8.2393618365287774E-2</v>
      </c>
    </row>
    <row r="331" spans="4:32" hidden="1" x14ac:dyDescent="0.35">
      <c r="D331" t="s">
        <v>24</v>
      </c>
      <c r="E331">
        <v>5</v>
      </c>
      <c r="F331">
        <v>10</v>
      </c>
      <c r="G331">
        <v>7.2761999839782714</v>
      </c>
      <c r="H331">
        <v>4.0829999999999998E-2</v>
      </c>
      <c r="I331">
        <v>7.2409999999999997</v>
      </c>
      <c r="J331">
        <v>7.3849999999999998</v>
      </c>
      <c r="K331">
        <v>1.3948849870223998</v>
      </c>
      <c r="L331">
        <v>1.30801065071106</v>
      </c>
      <c r="M331">
        <v>1.5605</v>
      </c>
      <c r="N331">
        <v>0.91452935853195216</v>
      </c>
      <c r="O331">
        <v>0.60504347645950329</v>
      </c>
      <c r="P331">
        <v>0.31457274607276925</v>
      </c>
      <c r="Q331">
        <v>0.41607784999656677</v>
      </c>
    </row>
    <row r="332" spans="4:32" hidden="1" x14ac:dyDescent="0.35">
      <c r="D332" t="s">
        <v>29</v>
      </c>
      <c r="E332">
        <v>5</v>
      </c>
      <c r="F332">
        <v>12</v>
      </c>
      <c r="G332">
        <v>7.1420000083923343</v>
      </c>
      <c r="H332">
        <v>3.7510000000000002E-2</v>
      </c>
      <c r="I332">
        <v>7.0449999999999999</v>
      </c>
      <c r="J332">
        <v>7.1929999999999996</v>
      </c>
      <c r="K332">
        <v>1.398341452667236</v>
      </c>
      <c r="L332">
        <v>1.2802716544850667</v>
      </c>
      <c r="M332">
        <v>1.4895</v>
      </c>
      <c r="N332">
        <v>0.88367968384170548</v>
      </c>
      <c r="O332">
        <v>0.57692923791503903</v>
      </c>
      <c r="P332">
        <v>0.21426007308769218</v>
      </c>
      <c r="Q332">
        <v>0.29240046434974676</v>
      </c>
    </row>
    <row r="333" spans="4:32" hidden="1" x14ac:dyDescent="0.35">
      <c r="D333" t="s">
        <v>101</v>
      </c>
      <c r="E333">
        <v>5</v>
      </c>
      <c r="F333">
        <v>84.6</v>
      </c>
      <c r="G333">
        <v>5.2292000411987303</v>
      </c>
      <c r="H333">
        <v>3.363E-2</v>
      </c>
      <c r="I333">
        <v>5.226</v>
      </c>
      <c r="J333">
        <v>5.3559999999999999</v>
      </c>
      <c r="K333">
        <v>1.0736443531265261</v>
      </c>
      <c r="L333">
        <v>0.95025008506775011</v>
      </c>
      <c r="M333">
        <v>1.1539999999999999</v>
      </c>
      <c r="N333">
        <v>0.61965315518188491</v>
      </c>
      <c r="O333">
        <v>0.38054516765022278</v>
      </c>
      <c r="P333">
        <v>0.17575550142097476</v>
      </c>
      <c r="Q333">
        <v>4.9131868055343621E-2</v>
      </c>
    </row>
    <row r="334" spans="4:32" hidden="1" x14ac:dyDescent="0.35">
      <c r="D334" t="s">
        <v>68</v>
      </c>
      <c r="E334">
        <v>5</v>
      </c>
      <c r="F334">
        <v>42.4</v>
      </c>
      <c r="G334">
        <v>6.1137999786376964</v>
      </c>
      <c r="H334">
        <v>5.4120000000000001E-2</v>
      </c>
      <c r="I334">
        <v>6.1280000000000001</v>
      </c>
      <c r="J334">
        <v>6.3079999999999998</v>
      </c>
      <c r="K334">
        <v>1.390482452201844</v>
      </c>
      <c r="L334">
        <v>1.1611068204116834</v>
      </c>
      <c r="M334">
        <v>1.367</v>
      </c>
      <c r="N334">
        <v>0.72525060694122323</v>
      </c>
      <c r="O334">
        <v>0.51908338383102426</v>
      </c>
      <c r="P334">
        <v>0.21075243391418463</v>
      </c>
      <c r="Q334">
        <v>0.2031516973667144</v>
      </c>
    </row>
    <row r="335" spans="4:32" hidden="1" x14ac:dyDescent="0.35">
      <c r="D335" t="s">
        <v>130</v>
      </c>
      <c r="E335">
        <v>5</v>
      </c>
      <c r="F335">
        <v>113.8</v>
      </c>
      <c r="G335">
        <v>4.5801999603271479</v>
      </c>
      <c r="H335">
        <v>3.0769999999999999E-2</v>
      </c>
      <c r="I335">
        <v>4.5599999999999996</v>
      </c>
      <c r="J335">
        <v>4.726</v>
      </c>
      <c r="K335">
        <v>0.52399659505844132</v>
      </c>
      <c r="L335">
        <v>0.47122724685668932</v>
      </c>
      <c r="M335">
        <v>0.88900000000000001</v>
      </c>
      <c r="N335">
        <v>0.59335420671081529</v>
      </c>
      <c r="O335">
        <v>0.47826733188247683</v>
      </c>
      <c r="P335">
        <v>0.1324475718774796</v>
      </c>
      <c r="Q335">
        <v>0.17895907042789461</v>
      </c>
    </row>
    <row r="336" spans="4:32" hidden="1" x14ac:dyDescent="0.35">
      <c r="D336" t="s">
        <v>78</v>
      </c>
      <c r="E336">
        <v>5</v>
      </c>
      <c r="F336">
        <v>68.2</v>
      </c>
      <c r="G336">
        <v>5.5979999534606941</v>
      </c>
      <c r="H336">
        <v>3.9379999999999998E-2</v>
      </c>
      <c r="I336">
        <v>5.6461142440140204</v>
      </c>
      <c r="J336">
        <v>5.8810000000000002</v>
      </c>
      <c r="K336">
        <v>1.0850195119934081</v>
      </c>
      <c r="L336">
        <v>1.2425884053929634</v>
      </c>
      <c r="M336">
        <v>1.4815</v>
      </c>
      <c r="N336">
        <v>0.69876685335540778</v>
      </c>
      <c r="O336">
        <v>0.30153805237579345</v>
      </c>
      <c r="P336">
        <v>0.16355676433467861</v>
      </c>
      <c r="Q336">
        <v>0.120003501821518</v>
      </c>
    </row>
    <row r="337" spans="4:17" hidden="1" x14ac:dyDescent="0.35">
      <c r="D337" t="s">
        <v>35</v>
      </c>
      <c r="E337">
        <v>5</v>
      </c>
      <c r="F337">
        <v>17.600000000000001</v>
      </c>
      <c r="G337">
        <v>6.9213999588012696</v>
      </c>
      <c r="H337">
        <v>3.5950000000000003E-2</v>
      </c>
      <c r="I337">
        <v>6.8609999999999998</v>
      </c>
      <c r="J337">
        <v>6.9969999999999999</v>
      </c>
      <c r="K337">
        <v>1.3753981521530159</v>
      </c>
      <c r="L337">
        <v>1.2668208994547532</v>
      </c>
      <c r="M337">
        <v>1.4935</v>
      </c>
      <c r="N337">
        <v>0.88287037387084966</v>
      </c>
      <c r="O337">
        <v>0.53876214447784421</v>
      </c>
      <c r="P337">
        <v>0.23784462621307378</v>
      </c>
      <c r="Q337">
        <v>0.20888066752433776</v>
      </c>
    </row>
    <row r="338" spans="4:17" hidden="1" x14ac:dyDescent="0.35">
      <c r="D338" t="s">
        <v>208</v>
      </c>
      <c r="E338">
        <v>3</v>
      </c>
      <c r="F338">
        <v>50.333333333333336</v>
      </c>
      <c r="G338">
        <v>5.9559999504089367</v>
      </c>
      <c r="I338">
        <v>5.71</v>
      </c>
      <c r="J338">
        <v>6.202</v>
      </c>
      <c r="K338">
        <v>0.86371177201588933</v>
      </c>
      <c r="L338">
        <v>0.88398389949798495</v>
      </c>
      <c r="M338">
        <v>1.101</v>
      </c>
      <c r="N338">
        <v>0.45996058867454531</v>
      </c>
      <c r="O338">
        <v>0.55093979074478139</v>
      </c>
      <c r="P338">
        <v>9.7763690538406348E-2</v>
      </c>
      <c r="Q338">
        <v>0.21995188028494531</v>
      </c>
    </row>
    <row r="339" spans="4:17" hidden="1" x14ac:dyDescent="0.35">
      <c r="D339" t="s">
        <v>176</v>
      </c>
      <c r="E339">
        <v>5</v>
      </c>
      <c r="F339">
        <v>137.80000000000001</v>
      </c>
      <c r="G339">
        <v>3.9010000129699698</v>
      </c>
      <c r="H339">
        <v>3.6560000000000002E-2</v>
      </c>
      <c r="I339">
        <v>3.4039999999999999</v>
      </c>
      <c r="J339">
        <v>3.5682165783643698</v>
      </c>
      <c r="K339">
        <v>0.37674508154678343</v>
      </c>
      <c r="L339">
        <v>0.29778328118324265</v>
      </c>
      <c r="M339">
        <v>0.40449999999999997</v>
      </c>
      <c r="N339">
        <v>0.27526204226112361</v>
      </c>
      <c r="O339">
        <v>0.41938655518913259</v>
      </c>
      <c r="P339">
        <v>7.1367803055763235E-2</v>
      </c>
      <c r="Q339">
        <v>0.18606969223499301</v>
      </c>
    </row>
    <row r="340" spans="4:17" hidden="1" x14ac:dyDescent="0.35">
      <c r="D340" t="s">
        <v>99</v>
      </c>
      <c r="E340">
        <v>5</v>
      </c>
      <c r="F340">
        <v>90.4</v>
      </c>
      <c r="G340">
        <v>5.1248000312805182</v>
      </c>
      <c r="H340">
        <v>3.2250000000000001E-2</v>
      </c>
      <c r="I340">
        <v>5.0793345621228196</v>
      </c>
      <c r="J340">
        <v>5.2539999999999996</v>
      </c>
      <c r="K340">
        <v>0.82350727770233156</v>
      </c>
      <c r="L340">
        <v>1.1174788381449365</v>
      </c>
      <c r="M340">
        <v>1.3279999999999998</v>
      </c>
      <c r="N340">
        <v>0.5397078584976196</v>
      </c>
      <c r="O340">
        <v>0.49846753612518313</v>
      </c>
      <c r="P340">
        <v>0.16548607796192161</v>
      </c>
      <c r="Q340">
        <v>0.43469890903282166</v>
      </c>
    </row>
    <row r="341" spans="4:17" hidden="1" x14ac:dyDescent="0.35">
      <c r="D341" t="s">
        <v>70</v>
      </c>
      <c r="E341">
        <v>5</v>
      </c>
      <c r="F341">
        <v>58.2</v>
      </c>
      <c r="G341">
        <v>5.8131999908447254</v>
      </c>
      <c r="H341">
        <v>5.6419999999999998E-2</v>
      </c>
      <c r="I341">
        <v>5.74</v>
      </c>
      <c r="J341">
        <v>5.9039999999999999</v>
      </c>
      <c r="K341">
        <v>0.76726131320953361</v>
      </c>
      <c r="L341">
        <v>1.0146063506444298</v>
      </c>
      <c r="M341">
        <v>1.2160000000000002</v>
      </c>
      <c r="N341">
        <v>0.53930604990005504</v>
      </c>
      <c r="O341">
        <v>0.55189658536911024</v>
      </c>
      <c r="P341">
        <v>6.878754523229598E-2</v>
      </c>
      <c r="Q341">
        <v>0.18518014494705198</v>
      </c>
    </row>
    <row r="342" spans="4:17" hidden="1" x14ac:dyDescent="0.35">
      <c r="D342" t="s">
        <v>117</v>
      </c>
      <c r="E342">
        <v>5</v>
      </c>
      <c r="F342">
        <v>88.8</v>
      </c>
      <c r="G342">
        <v>5.1618000320434581</v>
      </c>
      <c r="H342">
        <v>6.9129999999999997E-2</v>
      </c>
      <c r="I342">
        <v>5.0629999999999997</v>
      </c>
      <c r="J342">
        <v>5.2629999999999999</v>
      </c>
      <c r="K342">
        <v>0.92169388352584836</v>
      </c>
      <c r="L342">
        <v>0.87738864583333331</v>
      </c>
      <c r="M342">
        <v>1.145</v>
      </c>
      <c r="N342">
        <v>0.76133126148605346</v>
      </c>
      <c r="O342">
        <v>0.17679263538074502</v>
      </c>
      <c r="P342">
        <v>1.6539999999999999E-3</v>
      </c>
      <c r="Q342">
        <v>0.27096749901199341</v>
      </c>
    </row>
    <row r="343" spans="4:17" hidden="1" x14ac:dyDescent="0.35">
      <c r="D343" t="s">
        <v>149</v>
      </c>
      <c r="E343">
        <v>5</v>
      </c>
      <c r="F343">
        <v>140.19999999999999</v>
      </c>
      <c r="G343">
        <v>3.830000006484986</v>
      </c>
      <c r="H343">
        <v>4.9340000000000002E-2</v>
      </c>
      <c r="I343">
        <v>3.8741226662695398</v>
      </c>
      <c r="J343">
        <v>4.0730000000000004</v>
      </c>
      <c r="K343">
        <v>1.0535808308715822</v>
      </c>
      <c r="L343">
        <v>1.0726849981943767</v>
      </c>
      <c r="M343">
        <v>1.1595</v>
      </c>
      <c r="N343">
        <v>0.33840710187530521</v>
      </c>
      <c r="O343">
        <v>0.49060726658630383</v>
      </c>
      <c r="P343">
        <v>0.10460263981676102</v>
      </c>
      <c r="Q343">
        <v>7.9041689643383012E-2</v>
      </c>
    </row>
    <row r="344" spans="4:17" hidden="1" x14ac:dyDescent="0.35">
      <c r="D344" t="s">
        <v>32</v>
      </c>
      <c r="E344">
        <v>5</v>
      </c>
      <c r="F344">
        <v>23</v>
      </c>
      <c r="G344">
        <v>6.6578000457763675</v>
      </c>
      <c r="H344">
        <v>4.0759999999999998E-2</v>
      </c>
      <c r="I344">
        <v>6.7254695016145698</v>
      </c>
      <c r="J344">
        <v>7.0289999999999999</v>
      </c>
      <c r="K344">
        <v>1.0332266420898439</v>
      </c>
      <c r="L344">
        <v>1.2345186681747433</v>
      </c>
      <c r="M344">
        <v>1.4565000000000001</v>
      </c>
      <c r="N344">
        <v>0.68094447058105456</v>
      </c>
      <c r="O344">
        <v>0.44303874935913079</v>
      </c>
      <c r="P344">
        <v>0.1203925522317886</v>
      </c>
      <c r="Q344">
        <v>0.13496997892856599</v>
      </c>
    </row>
    <row r="345" spans="4:17" hidden="1" x14ac:dyDescent="0.35">
      <c r="D345" t="s">
        <v>155</v>
      </c>
      <c r="E345">
        <v>5</v>
      </c>
      <c r="F345">
        <v>113</v>
      </c>
      <c r="G345">
        <v>4.6186000450134275</v>
      </c>
      <c r="H345">
        <v>4.8280000000000003E-2</v>
      </c>
      <c r="I345">
        <v>4.1040000000000001</v>
      </c>
      <c r="J345">
        <v>4.6243057437241104</v>
      </c>
      <c r="K345">
        <v>1.0865358176651001</v>
      </c>
      <c r="L345">
        <v>1.1553131528091434</v>
      </c>
      <c r="M345">
        <v>1.5139999999999998</v>
      </c>
      <c r="N345">
        <v>0.7359535360908509</v>
      </c>
      <c r="O345">
        <v>0.29545834351730338</v>
      </c>
      <c r="P345">
        <v>7.7843061899542793E-3</v>
      </c>
      <c r="Q345">
        <v>0.1010635388760566</v>
      </c>
    </row>
    <row r="346" spans="4:17" hidden="1" x14ac:dyDescent="0.35">
      <c r="D346" t="s">
        <v>173</v>
      </c>
      <c r="E346">
        <v>5</v>
      </c>
      <c r="F346">
        <v>133.4</v>
      </c>
      <c r="G346">
        <v>4.0738000129699703</v>
      </c>
      <c r="H346">
        <v>4.3240000000000001E-2</v>
      </c>
      <c r="I346">
        <v>3.6469999999999998</v>
      </c>
      <c r="J346">
        <v>3.9399410653114302</v>
      </c>
      <c r="K346">
        <v>0.31465954271697999</v>
      </c>
      <c r="L346">
        <v>0.84190000181834002</v>
      </c>
      <c r="M346">
        <v>1.0765</v>
      </c>
      <c r="N346">
        <v>0.26681285173320779</v>
      </c>
      <c r="O346">
        <v>0.32399957020378123</v>
      </c>
      <c r="P346">
        <v>0.12299562119722358</v>
      </c>
      <c r="Q346">
        <v>0.21277293691635141</v>
      </c>
    </row>
    <row r="347" spans="4:17" x14ac:dyDescent="0.35">
      <c r="D347" t="s">
        <v>178</v>
      </c>
      <c r="E347">
        <v>5</v>
      </c>
      <c r="F347">
        <v>153.80000000000001</v>
      </c>
      <c r="G347">
        <v>3.0789999942779538</v>
      </c>
      <c r="H347">
        <v>8.6580000000000004E-2</v>
      </c>
      <c r="I347">
        <v>2.7320000000000002</v>
      </c>
      <c r="J347">
        <v>3.0779999999999998</v>
      </c>
      <c r="K347">
        <v>6.2446513733386999E-2</v>
      </c>
      <c r="L347">
        <v>0.42669452811559033</v>
      </c>
      <c r="M347">
        <v>0.53700000000000003</v>
      </c>
      <c r="N347">
        <v>0.21160815833663937</v>
      </c>
      <c r="O347">
        <v>0.10132015064001083</v>
      </c>
      <c r="P347">
        <v>0.10699158900928499</v>
      </c>
      <c r="Q347">
        <v>0.18592103691959377</v>
      </c>
    </row>
    <row r="348" spans="4:17" hidden="1" x14ac:dyDescent="0.35">
      <c r="D348" t="s">
        <v>166</v>
      </c>
      <c r="E348">
        <v>5</v>
      </c>
      <c r="F348">
        <v>128.6</v>
      </c>
      <c r="G348">
        <v>4.2054000442504877</v>
      </c>
      <c r="H348">
        <v>5.0689999999999999E-2</v>
      </c>
      <c r="I348">
        <v>3.798</v>
      </c>
      <c r="J348">
        <v>4.0574826289713402</v>
      </c>
      <c r="K348">
        <v>0.54823701923751833</v>
      </c>
      <c r="L348">
        <v>0.72369944711049339</v>
      </c>
      <c r="M348">
        <v>1.105</v>
      </c>
      <c r="N348">
        <v>0.51197268077468883</v>
      </c>
      <c r="O348">
        <v>0.6378711646995544</v>
      </c>
      <c r="P348">
        <v>6.9699190190315244E-2</v>
      </c>
      <c r="Q348">
        <v>0.33618059367752079</v>
      </c>
    </row>
    <row r="349" spans="4:17" hidden="1" x14ac:dyDescent="0.35">
      <c r="D349" t="s">
        <v>154</v>
      </c>
      <c r="E349">
        <v>5</v>
      </c>
      <c r="F349">
        <v>109.8</v>
      </c>
      <c r="G349">
        <v>4.6958000343322759</v>
      </c>
      <c r="H349">
        <v>4.6780000000000002E-2</v>
      </c>
      <c r="I349">
        <v>4.4169999999999998</v>
      </c>
      <c r="J349">
        <v>4.609</v>
      </c>
      <c r="K349">
        <v>0.51915507301712038</v>
      </c>
      <c r="L349">
        <v>0.81970273966471374</v>
      </c>
      <c r="M349">
        <v>0.90050000000000008</v>
      </c>
      <c r="N349">
        <v>0.20137842338085182</v>
      </c>
      <c r="O349">
        <v>0.43716774972915645</v>
      </c>
      <c r="P349">
        <v>5.0085326283216478E-2</v>
      </c>
      <c r="Q349">
        <v>0.20785569135761262</v>
      </c>
    </row>
    <row r="350" spans="4:17" hidden="1" x14ac:dyDescent="0.35">
      <c r="D350" t="s">
        <v>17</v>
      </c>
      <c r="E350">
        <v>5</v>
      </c>
      <c r="F350">
        <v>6.8</v>
      </c>
      <c r="G350">
        <v>7.3505999969482421</v>
      </c>
      <c r="H350">
        <v>3.5529999999999999E-2</v>
      </c>
      <c r="I350">
        <v>7.335</v>
      </c>
      <c r="J350">
        <v>7.4729999999999999</v>
      </c>
      <c r="K350">
        <v>1.3881288832550041</v>
      </c>
      <c r="L350">
        <v>1.3000196637980135</v>
      </c>
      <c r="M350">
        <v>1.5185</v>
      </c>
      <c r="N350">
        <v>0.90055753049469001</v>
      </c>
      <c r="O350">
        <v>0.61095418241882316</v>
      </c>
      <c r="P350">
        <v>0.3058463032455444</v>
      </c>
      <c r="Q350">
        <v>0.38959794448852536</v>
      </c>
    </row>
    <row r="351" spans="4:17" x14ac:dyDescent="0.35">
      <c r="D351" t="s">
        <v>169</v>
      </c>
      <c r="E351">
        <v>4</v>
      </c>
      <c r="F351">
        <v>153.25</v>
      </c>
      <c r="G351">
        <v>3.1342500195503225</v>
      </c>
      <c r="H351">
        <v>6.1120000000000001E-2</v>
      </c>
      <c r="I351">
        <v>2.8648842692375198</v>
      </c>
      <c r="J351">
        <v>2.5211158871650698</v>
      </c>
      <c r="K351">
        <v>3.2125000000000001E-2</v>
      </c>
      <c r="L351">
        <v>0</v>
      </c>
      <c r="M351">
        <v>0</v>
      </c>
      <c r="N351">
        <v>5.0190671475082618E-2</v>
      </c>
      <c r="O351">
        <v>0.32240801138639452</v>
      </c>
      <c r="P351">
        <v>5.3113769028186805E-2</v>
      </c>
      <c r="Q351">
        <v>0.24305662187337876</v>
      </c>
    </row>
    <row r="352" spans="4:17" hidden="1" x14ac:dyDescent="0.35">
      <c r="D352" t="s">
        <v>170</v>
      </c>
      <c r="E352">
        <v>5</v>
      </c>
      <c r="F352">
        <v>138.6</v>
      </c>
      <c r="G352">
        <v>4.003400021743774</v>
      </c>
      <c r="H352">
        <v>3.8300000000000001E-2</v>
      </c>
      <c r="I352">
        <v>3.6720000000000002</v>
      </c>
      <c r="J352">
        <v>3.8540000000000001</v>
      </c>
      <c r="K352">
        <v>0.38201659747505179</v>
      </c>
      <c r="L352">
        <v>0.78208529071807853</v>
      </c>
      <c r="M352">
        <v>0.83650000000000002</v>
      </c>
      <c r="N352">
        <v>9.4894943016052252E-2</v>
      </c>
      <c r="O352">
        <v>0.17768440536594396</v>
      </c>
      <c r="P352">
        <v>5.8758376453638086E-2</v>
      </c>
      <c r="Q352">
        <v>0.19312877009487162</v>
      </c>
    </row>
    <row r="353" spans="4:17" hidden="1" x14ac:dyDescent="0.35">
      <c r="D353" t="s">
        <v>44</v>
      </c>
      <c r="E353">
        <v>5</v>
      </c>
      <c r="F353">
        <v>24.4</v>
      </c>
      <c r="G353">
        <v>6.5893999900817875</v>
      </c>
      <c r="H353">
        <v>5.8000000000000003E-2</v>
      </c>
      <c r="I353">
        <v>6.6150000000000002</v>
      </c>
      <c r="J353">
        <v>6.7949999999999999</v>
      </c>
      <c r="K353">
        <v>1.1733269219589242</v>
      </c>
      <c r="L353">
        <v>1.1047883179473865</v>
      </c>
      <c r="M353">
        <v>1.35</v>
      </c>
      <c r="N353">
        <v>0.84497594078063953</v>
      </c>
      <c r="O353">
        <v>0.396821055738449</v>
      </c>
      <c r="P353">
        <v>8.8497596421241748E-2</v>
      </c>
      <c r="Q353">
        <v>0.27204848424530026</v>
      </c>
    </row>
    <row r="354" spans="4:17" hidden="1" x14ac:dyDescent="0.35">
      <c r="D354" t="s">
        <v>105</v>
      </c>
      <c r="E354">
        <v>5</v>
      </c>
      <c r="F354">
        <v>85</v>
      </c>
      <c r="G354">
        <v>5.2189999526977537</v>
      </c>
      <c r="H354">
        <v>2.4240000000000001E-2</v>
      </c>
      <c r="I354">
        <v>5.1989999999999998</v>
      </c>
      <c r="J354">
        <v>5.2910000000000004</v>
      </c>
      <c r="K354">
        <v>1.0034171581115721</v>
      </c>
      <c r="L354">
        <v>0.96713247062682994</v>
      </c>
      <c r="M354">
        <v>1.1335</v>
      </c>
      <c r="N354">
        <v>0.79712110012817372</v>
      </c>
      <c r="O354">
        <v>0.50957554160881036</v>
      </c>
      <c r="P354">
        <v>5.621085492265223E-2</v>
      </c>
      <c r="Q354">
        <v>4.9449368200182919E-2</v>
      </c>
    </row>
    <row r="355" spans="4:17" hidden="1" x14ac:dyDescent="0.35">
      <c r="D355" t="s">
        <v>51</v>
      </c>
      <c r="E355">
        <v>5</v>
      </c>
      <c r="F355">
        <v>36</v>
      </c>
      <c r="G355">
        <v>6.3399999748229972</v>
      </c>
      <c r="H355">
        <v>5.0509999999999999E-2</v>
      </c>
      <c r="I355">
        <v>6.3840000000000003</v>
      </c>
      <c r="J355">
        <v>6.5780000000000003</v>
      </c>
      <c r="K355">
        <v>0.99291046498870794</v>
      </c>
      <c r="L355">
        <v>1.2213509788894668</v>
      </c>
      <c r="M355">
        <v>1.4245000000000001</v>
      </c>
      <c r="N355">
        <v>0.67167758471679684</v>
      </c>
      <c r="O355">
        <v>0.49209948301506046</v>
      </c>
      <c r="P355">
        <v>4.4971748370409029E-2</v>
      </c>
      <c r="Q355">
        <v>0.13745689459228522</v>
      </c>
    </row>
    <row r="356" spans="4:17" hidden="1" x14ac:dyDescent="0.35">
      <c r="D356" t="s">
        <v>161</v>
      </c>
      <c r="E356">
        <v>3</v>
      </c>
      <c r="F356">
        <v>140</v>
      </c>
      <c r="G356">
        <v>3.9616666666666664</v>
      </c>
      <c r="H356">
        <v>4.7969999999999999E-2</v>
      </c>
      <c r="I356">
        <v>3.86</v>
      </c>
      <c r="J356">
        <v>4.0519999999999996</v>
      </c>
      <c r="K356">
        <v>0.26271666666666665</v>
      </c>
      <c r="L356">
        <v>0.69798000000000004</v>
      </c>
      <c r="M356">
        <v>0.75700000000000001</v>
      </c>
      <c r="N356">
        <v>0.38931999999999994</v>
      </c>
      <c r="O356">
        <v>0.17509666666666668</v>
      </c>
      <c r="P356">
        <v>0.15379000000000001</v>
      </c>
      <c r="Q356">
        <v>0.21070333333333335</v>
      </c>
    </row>
    <row r="357" spans="4:17" hidden="1" x14ac:dyDescent="0.35">
      <c r="D357" t="s">
        <v>160</v>
      </c>
      <c r="E357">
        <v>5</v>
      </c>
      <c r="F357">
        <v>121.4</v>
      </c>
      <c r="G357">
        <v>4.3773999778747568</v>
      </c>
      <c r="H357">
        <v>6.6820000000000004E-2</v>
      </c>
      <c r="I357">
        <v>4.1070000000000002</v>
      </c>
      <c r="J357">
        <v>4.3650000000000002</v>
      </c>
      <c r="K357">
        <v>0.7227428504943848</v>
      </c>
      <c r="L357">
        <v>0.6576447876739504</v>
      </c>
      <c r="M357">
        <v>0.80500000000000005</v>
      </c>
      <c r="N357">
        <v>0.34671748678779601</v>
      </c>
      <c r="O357">
        <v>0.42301317416000356</v>
      </c>
      <c r="P357">
        <v>9.2801626720905306E-2</v>
      </c>
      <c r="Q357">
        <v>0.11230042553424839</v>
      </c>
    </row>
    <row r="358" spans="4:17" hidden="1" x14ac:dyDescent="0.35">
      <c r="D358" t="s">
        <v>141</v>
      </c>
      <c r="E358">
        <v>5</v>
      </c>
      <c r="F358">
        <v>126</v>
      </c>
      <c r="G358">
        <v>4.3464000419616706</v>
      </c>
      <c r="H358">
        <v>3.6799999999999999E-2</v>
      </c>
      <c r="I358">
        <v>4.1909999999999998</v>
      </c>
      <c r="J358">
        <v>4.3529999999999998</v>
      </c>
      <c r="K358">
        <v>6.2342469760894782E-2</v>
      </c>
      <c r="L358">
        <v>1.0123278188578302</v>
      </c>
      <c r="M358">
        <v>1.1305000000000001</v>
      </c>
      <c r="N358">
        <v>0.20769340497207639</v>
      </c>
      <c r="O358">
        <v>0.23980626956367504</v>
      </c>
      <c r="P358">
        <v>6.0448271298408497E-2</v>
      </c>
      <c r="Q358">
        <v>0.23167516666316978</v>
      </c>
    </row>
    <row r="359" spans="4:17" hidden="1" x14ac:dyDescent="0.35">
      <c r="D359" t="s">
        <v>27</v>
      </c>
      <c r="E359">
        <v>5</v>
      </c>
      <c r="F359">
        <v>12.6</v>
      </c>
      <c r="G359">
        <v>7.126199999237059</v>
      </c>
      <c r="H359">
        <v>4.4540000000000003E-2</v>
      </c>
      <c r="I359">
        <v>6.9989999999999997</v>
      </c>
      <c r="J359">
        <v>7.1749999999999998</v>
      </c>
      <c r="K359">
        <v>1.0356552565231318</v>
      </c>
      <c r="L359">
        <v>1.2252678837458302</v>
      </c>
      <c r="M359">
        <v>1.4500000000000002</v>
      </c>
      <c r="N359">
        <v>0.83224785308456417</v>
      </c>
      <c r="O359">
        <v>0.59122832999420161</v>
      </c>
      <c r="P359">
        <v>0.10108131789922718</v>
      </c>
      <c r="Q359">
        <v>0.19642264580726621</v>
      </c>
    </row>
    <row r="360" spans="4:17" hidden="1" x14ac:dyDescent="0.35">
      <c r="D360" t="s">
        <v>81</v>
      </c>
      <c r="E360">
        <v>5</v>
      </c>
      <c r="F360">
        <v>74</v>
      </c>
      <c r="G360">
        <v>5.4586000442504883</v>
      </c>
      <c r="H360">
        <v>4.394E-2</v>
      </c>
      <c r="I360">
        <v>5.3917772045731498</v>
      </c>
      <c r="J360">
        <v>5.5739999999999998</v>
      </c>
      <c r="K360">
        <v>1.1523172466812139</v>
      </c>
      <c r="L360">
        <v>0.79077100247701004</v>
      </c>
      <c r="M360">
        <v>1.2135</v>
      </c>
      <c r="N360">
        <v>0.76911570425796505</v>
      </c>
      <c r="O360">
        <v>0.28593445852279664</v>
      </c>
      <c r="P360">
        <v>3.368462200903892E-2</v>
      </c>
      <c r="Q360">
        <v>0.14515659523582461</v>
      </c>
    </row>
    <row r="361" spans="4:17" hidden="1" x14ac:dyDescent="0.35">
      <c r="D361" t="s">
        <v>86</v>
      </c>
      <c r="E361">
        <v>5</v>
      </c>
      <c r="F361">
        <v>62.2</v>
      </c>
      <c r="G361">
        <v>5.7327999626159656</v>
      </c>
      <c r="H361">
        <v>5.5800000000000002E-2</v>
      </c>
      <c r="I361">
        <v>5.4420000000000002</v>
      </c>
      <c r="J361">
        <v>5.65</v>
      </c>
      <c r="K361">
        <v>1.2749276153945921</v>
      </c>
      <c r="L361">
        <v>0.91050442422231004</v>
      </c>
      <c r="M361">
        <v>1.2070000000000001</v>
      </c>
      <c r="N361">
        <v>0.91361494023513801</v>
      </c>
      <c r="O361">
        <v>0.37718030787277224</v>
      </c>
      <c r="P361">
        <v>4.6195595280408862E-2</v>
      </c>
      <c r="Q361">
        <v>0.24973886021423336</v>
      </c>
    </row>
    <row r="362" spans="4:17" hidden="1" x14ac:dyDescent="0.35">
      <c r="D362" t="s">
        <v>48</v>
      </c>
      <c r="E362">
        <v>5</v>
      </c>
      <c r="F362">
        <v>24.4</v>
      </c>
      <c r="G362">
        <v>6.6546000411987309</v>
      </c>
      <c r="H362">
        <v>4.1680000000000002E-2</v>
      </c>
      <c r="I362">
        <v>6.5149999999999997</v>
      </c>
      <c r="J362">
        <v>6.6769999999999996</v>
      </c>
      <c r="K362">
        <v>1.2685624704132081</v>
      </c>
      <c r="L362">
        <v>1.2160817389043166</v>
      </c>
      <c r="M362">
        <v>1.488</v>
      </c>
      <c r="N362">
        <v>0.82740680062103278</v>
      </c>
      <c r="O362">
        <v>0.47375323473358161</v>
      </c>
      <c r="P362">
        <v>3.4650585419893257E-2</v>
      </c>
      <c r="Q362">
        <v>8.0851351778507247E-2</v>
      </c>
    </row>
    <row r="363" spans="4:17" x14ac:dyDescent="0.35">
      <c r="D363" t="s">
        <v>15</v>
      </c>
      <c r="E363">
        <v>5</v>
      </c>
      <c r="F363">
        <v>2.2000000000000002</v>
      </c>
      <c r="G363">
        <v>7.5459999671936044</v>
      </c>
      <c r="H363">
        <v>3.3279999999999997E-2</v>
      </c>
      <c r="I363">
        <v>7.46</v>
      </c>
      <c r="J363">
        <v>7.5919999999999996</v>
      </c>
      <c r="K363">
        <v>1.396728602554322</v>
      </c>
      <c r="L363">
        <v>1.3584805308405565</v>
      </c>
      <c r="M363">
        <v>1.5815000000000001</v>
      </c>
      <c r="N363">
        <v>0.86524910491561879</v>
      </c>
      <c r="O363">
        <v>0.62595934449005131</v>
      </c>
      <c r="P363">
        <v>0.42937401363372796</v>
      </c>
      <c r="Q363">
        <v>0.31887609774589543</v>
      </c>
    </row>
    <row r="364" spans="4:17" hidden="1" x14ac:dyDescent="0.35">
      <c r="D364" t="s">
        <v>147</v>
      </c>
      <c r="E364">
        <v>1</v>
      </c>
      <c r="F364">
        <v>126</v>
      </c>
      <c r="G364">
        <v>4.3689999999999998</v>
      </c>
      <c r="H364">
        <v>8.0960000000000004E-2</v>
      </c>
      <c r="K364">
        <v>0.44024999999999997</v>
      </c>
      <c r="L364">
        <v>0.59206999999999999</v>
      </c>
      <c r="N364">
        <v>0.36291000000000001</v>
      </c>
      <c r="O364">
        <v>0.46073999999999998</v>
      </c>
      <c r="P364">
        <v>0.28105000000000002</v>
      </c>
      <c r="Q364">
        <v>0.18093000000000001</v>
      </c>
    </row>
    <row r="365" spans="4:17" hidden="1" x14ac:dyDescent="0.35">
      <c r="D365" t="s">
        <v>119</v>
      </c>
      <c r="E365">
        <v>5</v>
      </c>
      <c r="F365">
        <v>86.6</v>
      </c>
      <c r="G365">
        <v>5.1994000038146977</v>
      </c>
      <c r="H365">
        <v>7.4459999999999998E-2</v>
      </c>
      <c r="I365">
        <v>5.0369999999999999</v>
      </c>
      <c r="J365">
        <v>5.2729999999999997</v>
      </c>
      <c r="K365">
        <v>0.99992276730346608</v>
      </c>
      <c r="L365">
        <v>1.1897989020284034</v>
      </c>
      <c r="M365">
        <v>1.421</v>
      </c>
      <c r="N365">
        <v>0.64256274908828748</v>
      </c>
      <c r="O365">
        <v>0.54537996674728395</v>
      </c>
      <c r="P365">
        <v>0.11740105063867559</v>
      </c>
      <c r="Q365">
        <v>0.169933569946289</v>
      </c>
    </row>
    <row r="366" spans="4:17" hidden="1" x14ac:dyDescent="0.35">
      <c r="D366" t="s">
        <v>67</v>
      </c>
      <c r="E366">
        <v>5</v>
      </c>
      <c r="F366">
        <v>48.2</v>
      </c>
      <c r="G366">
        <v>5.9919999794006333</v>
      </c>
      <c r="H366">
        <v>4.5280000000000001E-2</v>
      </c>
      <c r="I366">
        <v>5.88</v>
      </c>
      <c r="J366">
        <v>6.0720000000000001</v>
      </c>
      <c r="K366">
        <v>0.92778007966613796</v>
      </c>
      <c r="L366">
        <v>1.0483129379018132</v>
      </c>
      <c r="M366">
        <v>1.3210000000000002</v>
      </c>
      <c r="N366">
        <v>0.75330324447250352</v>
      </c>
      <c r="O366">
        <v>0.47952763971138007</v>
      </c>
      <c r="P366">
        <v>0.14168092949771879</v>
      </c>
      <c r="Q366">
        <v>0.12125249300479882</v>
      </c>
    </row>
    <row r="367" spans="4:17" hidden="1" x14ac:dyDescent="0.35">
      <c r="D367" t="s">
        <v>156</v>
      </c>
      <c r="E367">
        <v>5</v>
      </c>
      <c r="F367">
        <v>123.6</v>
      </c>
      <c r="G367">
        <v>4.3752000267028803</v>
      </c>
      <c r="H367">
        <v>3.2599999999999997E-2</v>
      </c>
      <c r="I367">
        <v>4.2590000000000003</v>
      </c>
      <c r="J367">
        <v>4.6448664774000603</v>
      </c>
      <c r="K367">
        <v>0.92469036149978634</v>
      </c>
      <c r="L367">
        <v>0.747533797384898</v>
      </c>
      <c r="M367">
        <v>1.032</v>
      </c>
      <c r="N367">
        <v>0.57109345174407955</v>
      </c>
      <c r="O367">
        <v>0.23929203092575077</v>
      </c>
      <c r="P367">
        <v>9.1110273095607791E-2</v>
      </c>
      <c r="Q367">
        <v>0.1073202885570526</v>
      </c>
    </row>
    <row r="368" spans="4:17" hidden="1" x14ac:dyDescent="0.35">
      <c r="D368" t="s">
        <v>61</v>
      </c>
      <c r="E368">
        <v>5</v>
      </c>
      <c r="F368">
        <v>41.6</v>
      </c>
      <c r="G368">
        <v>6.1241999565124514</v>
      </c>
      <c r="H368">
        <v>5.6180000000000001E-2</v>
      </c>
      <c r="I368">
        <v>5.9669999999999996</v>
      </c>
      <c r="J368">
        <v>6.1689999999999996</v>
      </c>
      <c r="K368">
        <v>0.82960489916610725</v>
      </c>
      <c r="L368">
        <v>1.0056483638509099</v>
      </c>
      <c r="M368">
        <v>1.2364999999999999</v>
      </c>
      <c r="N368">
        <v>0.65947771055603011</v>
      </c>
      <c r="O368">
        <v>0.41992850593376163</v>
      </c>
      <c r="P368">
        <v>9.397419197845458E-2</v>
      </c>
      <c r="Q368">
        <v>8.6389597082614913E-2</v>
      </c>
    </row>
    <row r="369" spans="4:17" hidden="1" x14ac:dyDescent="0.35">
      <c r="D369" t="s">
        <v>93</v>
      </c>
      <c r="E369">
        <v>5</v>
      </c>
      <c r="F369">
        <v>65.8</v>
      </c>
      <c r="G369">
        <v>5.6378000122070322</v>
      </c>
      <c r="H369">
        <v>4.0129999999999999E-2</v>
      </c>
      <c r="I369">
        <v>5.4370000000000003</v>
      </c>
      <c r="J369">
        <v>5.5970000000000004</v>
      </c>
      <c r="K369">
        <v>1.237851868034362</v>
      </c>
      <c r="L369">
        <v>1.2520703665542599</v>
      </c>
      <c r="M369">
        <v>1.53</v>
      </c>
      <c r="N369">
        <v>0.75215166327285765</v>
      </c>
      <c r="O369">
        <v>0.47822428607749945</v>
      </c>
      <c r="P369">
        <v>0.17105578444576261</v>
      </c>
      <c r="Q369">
        <v>9.1784162240982042E-2</v>
      </c>
    </row>
    <row r="370" spans="4:17" hidden="1" x14ac:dyDescent="0.35">
      <c r="D370" t="s">
        <v>143</v>
      </c>
      <c r="E370">
        <v>5</v>
      </c>
      <c r="F370">
        <v>123.4</v>
      </c>
      <c r="G370">
        <v>4.4232000076293945</v>
      </c>
      <c r="H370">
        <v>3.78E-2</v>
      </c>
      <c r="I370">
        <v>4.4249999999999998</v>
      </c>
      <c r="J370">
        <v>4.5910000000000002</v>
      </c>
      <c r="K370">
        <v>0.29335876909446723</v>
      </c>
      <c r="L370">
        <v>0.6160164012527467</v>
      </c>
      <c r="M370">
        <v>0.99149999999999994</v>
      </c>
      <c r="N370">
        <v>0.41254794150924684</v>
      </c>
      <c r="O370">
        <v>0.40127454848861699</v>
      </c>
      <c r="P370">
        <v>0.14672714277362819</v>
      </c>
      <c r="Q370">
        <v>0.25602414802932738</v>
      </c>
    </row>
    <row r="371" spans="4:17" x14ac:dyDescent="0.35">
      <c r="D371" t="s">
        <v>19</v>
      </c>
      <c r="E371">
        <v>5</v>
      </c>
      <c r="F371">
        <v>3.6</v>
      </c>
      <c r="G371">
        <v>7.5377999725341791</v>
      </c>
      <c r="H371">
        <v>3.1399999999999997E-2</v>
      </c>
      <c r="I371">
        <v>7.351</v>
      </c>
      <c r="J371">
        <v>7.4749999999999996</v>
      </c>
      <c r="K371">
        <v>1.3569603850326539</v>
      </c>
      <c r="L371">
        <v>1.3310489083607999</v>
      </c>
      <c r="M371">
        <v>1.5895000000000001</v>
      </c>
      <c r="N371">
        <v>0.87383553390884394</v>
      </c>
      <c r="O371">
        <v>0.62153617133712769</v>
      </c>
      <c r="P371">
        <v>0.39847430858802801</v>
      </c>
      <c r="Q371">
        <v>0.217782554517746</v>
      </c>
    </row>
    <row r="372" spans="4:17" hidden="1" x14ac:dyDescent="0.35">
      <c r="D372" t="s">
        <v>46</v>
      </c>
      <c r="E372">
        <v>5</v>
      </c>
      <c r="F372">
        <v>27.8</v>
      </c>
      <c r="G372">
        <v>6.5151999824523923</v>
      </c>
      <c r="H372">
        <v>3.5119999999999998E-2</v>
      </c>
      <c r="I372">
        <v>6.3970000000000002</v>
      </c>
      <c r="J372">
        <v>6.5590000000000002</v>
      </c>
      <c r="K372">
        <v>1.3441166923828118</v>
      </c>
      <c r="L372">
        <v>1.2177456172180168</v>
      </c>
      <c r="M372">
        <v>1.4689999999999999</v>
      </c>
      <c r="N372">
        <v>0.91624117035675035</v>
      </c>
      <c r="O372">
        <v>0.48839042310333258</v>
      </c>
      <c r="P372">
        <v>0.18320848565864561</v>
      </c>
      <c r="Q372">
        <v>0.11673646136188501</v>
      </c>
    </row>
    <row r="373" spans="4:17" hidden="1" x14ac:dyDescent="0.35">
      <c r="D373" t="s">
        <v>164</v>
      </c>
      <c r="E373">
        <v>5</v>
      </c>
      <c r="F373">
        <v>120.4</v>
      </c>
      <c r="G373">
        <v>4.4078000305175777</v>
      </c>
      <c r="H373">
        <v>4.5469999999999997E-2</v>
      </c>
      <c r="I373">
        <v>4.03</v>
      </c>
      <c r="J373">
        <v>4.3726385395228897</v>
      </c>
      <c r="K373">
        <v>1.1019920478820802</v>
      </c>
      <c r="L373">
        <v>0.92819340577443332</v>
      </c>
      <c r="M373">
        <v>1.1735</v>
      </c>
      <c r="N373">
        <v>0.42293971769714356</v>
      </c>
      <c r="O373">
        <v>0.31268971540832513</v>
      </c>
      <c r="P373">
        <v>7.7419357440471639E-2</v>
      </c>
      <c r="Q373">
        <v>4.988907566738128E-2</v>
      </c>
    </row>
    <row r="374" spans="4:17" hidden="1" x14ac:dyDescent="0.35">
      <c r="D374" t="s">
        <v>235</v>
      </c>
      <c r="E374">
        <v>1</v>
      </c>
      <c r="F374">
        <v>120</v>
      </c>
      <c r="G374">
        <v>4.516</v>
      </c>
      <c r="K374">
        <v>0.308</v>
      </c>
      <c r="M374">
        <v>0.93899999999999995</v>
      </c>
      <c r="N374">
        <v>0.42799999999999999</v>
      </c>
      <c r="O374">
        <v>0.38200000000000001</v>
      </c>
      <c r="P374">
        <v>0.16700000000000001</v>
      </c>
      <c r="Q374">
        <v>0.26900000000000002</v>
      </c>
    </row>
    <row r="375" spans="4:17" hidden="1" x14ac:dyDescent="0.35">
      <c r="D375" t="s">
        <v>151</v>
      </c>
      <c r="E375">
        <v>5</v>
      </c>
      <c r="F375">
        <v>125.6</v>
      </c>
      <c r="G375">
        <v>4.3387999549865723</v>
      </c>
      <c r="H375">
        <v>4.2209999999999998E-2</v>
      </c>
      <c r="I375">
        <v>4.1639999999999997</v>
      </c>
      <c r="J375">
        <v>4.34</v>
      </c>
      <c r="K375">
        <v>0.85388653284454341</v>
      </c>
      <c r="L375">
        <v>0.38290831132253</v>
      </c>
      <c r="M375">
        <v>0.629</v>
      </c>
      <c r="N375">
        <v>0.68283139617156974</v>
      </c>
      <c r="O375">
        <v>0.35215800712203976</v>
      </c>
      <c r="P375">
        <v>0.26655532705497736</v>
      </c>
      <c r="Q375">
        <v>5.1667763087511066E-2</v>
      </c>
    </row>
    <row r="376" spans="4:17" hidden="1" x14ac:dyDescent="0.35">
      <c r="D376" t="s">
        <v>43</v>
      </c>
      <c r="E376">
        <v>5</v>
      </c>
      <c r="F376">
        <v>18</v>
      </c>
      <c r="G376">
        <v>6.9290000427246099</v>
      </c>
      <c r="H376">
        <v>1.848E-2</v>
      </c>
      <c r="I376">
        <v>6.93</v>
      </c>
      <c r="J376">
        <v>7.0579999999999998</v>
      </c>
      <c r="K376">
        <v>1.3953426767425541</v>
      </c>
      <c r="L376">
        <v>1.2898767838033032</v>
      </c>
      <c r="M376">
        <v>1.464</v>
      </c>
      <c r="N376">
        <v>0.87073614635086061</v>
      </c>
      <c r="O376">
        <v>0.5585882768974304</v>
      </c>
      <c r="P376">
        <v>0.26513438762474062</v>
      </c>
      <c r="Q376">
        <v>0.29138583400917062</v>
      </c>
    </row>
    <row r="377" spans="4:17" hidden="1" x14ac:dyDescent="0.35">
      <c r="D377" t="s">
        <v>135</v>
      </c>
      <c r="E377">
        <v>5</v>
      </c>
      <c r="F377">
        <v>115</v>
      </c>
      <c r="G377">
        <v>4.5363999771118158</v>
      </c>
      <c r="H377">
        <v>4.7419999999999997E-2</v>
      </c>
      <c r="I377">
        <v>4.1849999999999996</v>
      </c>
      <c r="J377">
        <v>4.367</v>
      </c>
      <c r="K377">
        <v>0.60937496488571163</v>
      </c>
      <c r="L377">
        <v>0.68224491224924744</v>
      </c>
      <c r="M377">
        <v>0.88200000000000001</v>
      </c>
      <c r="N377">
        <v>0.36335354535675041</v>
      </c>
      <c r="O377">
        <v>0.42723525870323176</v>
      </c>
      <c r="P377">
        <v>3.409727397441864E-2</v>
      </c>
      <c r="Q377">
        <v>0.23136478875160221</v>
      </c>
    </row>
    <row r="378" spans="4:17" hidden="1" x14ac:dyDescent="0.35">
      <c r="D378" t="s">
        <v>123</v>
      </c>
      <c r="E378">
        <v>5</v>
      </c>
      <c r="F378">
        <v>89.8</v>
      </c>
      <c r="G378">
        <v>5.1524000473022458</v>
      </c>
      <c r="H378">
        <v>5.0619999999999998E-2</v>
      </c>
      <c r="I378">
        <v>4.9349999999999996</v>
      </c>
      <c r="J378">
        <v>5.1310000000000002</v>
      </c>
      <c r="K378">
        <v>1.2054814962234501</v>
      </c>
      <c r="L378">
        <v>0.97449152423858665</v>
      </c>
      <c r="M378">
        <v>1.1789999999999998</v>
      </c>
      <c r="N378">
        <v>0.87412378061676022</v>
      </c>
      <c r="O378">
        <v>8.5788250188350679E-2</v>
      </c>
      <c r="P378">
        <v>3.5305955378294E-2</v>
      </c>
      <c r="Q378">
        <v>0</v>
      </c>
    </row>
    <row r="379" spans="4:17" hidden="1" x14ac:dyDescent="0.35">
      <c r="D379" t="s">
        <v>62</v>
      </c>
      <c r="E379">
        <v>5</v>
      </c>
      <c r="F379">
        <v>33.6</v>
      </c>
      <c r="G379">
        <v>6.3437999992370591</v>
      </c>
      <c r="H379">
        <v>5.2240000000000002E-2</v>
      </c>
      <c r="I379">
        <v>6.2130000000000001</v>
      </c>
      <c r="J379">
        <v>6.4349999999999996</v>
      </c>
      <c r="K379">
        <v>0.80661438919448858</v>
      </c>
      <c r="L379">
        <v>1.0567783978780101</v>
      </c>
      <c r="M379">
        <v>1.2685</v>
      </c>
      <c r="N379">
        <v>0.61577599795150761</v>
      </c>
      <c r="O379">
        <v>0.55028612358474738</v>
      </c>
      <c r="P379">
        <v>8.1590655716419228E-2</v>
      </c>
      <c r="Q379">
        <v>0.24009167856597902</v>
      </c>
    </row>
    <row r="380" spans="4:17" hidden="1" x14ac:dyDescent="0.35">
      <c r="D380" t="s">
        <v>171</v>
      </c>
      <c r="E380">
        <v>5</v>
      </c>
      <c r="F380">
        <v>141.6</v>
      </c>
      <c r="G380">
        <v>3.8535999938964842</v>
      </c>
      <c r="H380">
        <v>3.5900000000000001E-2</v>
      </c>
      <c r="I380">
        <v>3.5329999999999999</v>
      </c>
      <c r="J380">
        <v>3.681</v>
      </c>
      <c r="K380">
        <v>0.2733739860191346</v>
      </c>
      <c r="L380">
        <v>0.52229822854995733</v>
      </c>
      <c r="M380">
        <v>0.8105</v>
      </c>
      <c r="N380">
        <v>0.24170182783699037</v>
      </c>
      <c r="O380">
        <v>0.3522735025939942</v>
      </c>
      <c r="P380">
        <v>0.1063055235438346</v>
      </c>
      <c r="Q380">
        <v>0.24850501841735842</v>
      </c>
    </row>
    <row r="381" spans="4:17" hidden="1" x14ac:dyDescent="0.35">
      <c r="D381" t="s">
        <v>140</v>
      </c>
      <c r="E381">
        <v>5</v>
      </c>
      <c r="F381">
        <v>139</v>
      </c>
      <c r="G381">
        <v>3.8655999851226803</v>
      </c>
      <c r="H381">
        <v>7.331E-2</v>
      </c>
      <c r="I381">
        <v>3.7347147977352102</v>
      </c>
      <c r="J381">
        <v>4.1630000000000003</v>
      </c>
      <c r="K381">
        <v>0.32286205257415779</v>
      </c>
      <c r="L381">
        <v>0.55969327398300173</v>
      </c>
      <c r="M381">
        <v>0.70099999999999996</v>
      </c>
      <c r="N381">
        <v>0.33574622600746162</v>
      </c>
      <c r="O381">
        <v>8.9267971465229995E-2</v>
      </c>
      <c r="P381">
        <v>0.12607642990541459</v>
      </c>
      <c r="Q381">
        <v>0.44833075617790225</v>
      </c>
    </row>
    <row r="382" spans="4:17" hidden="1" x14ac:dyDescent="0.35">
      <c r="D382" t="s">
        <v>126</v>
      </c>
      <c r="E382">
        <v>5</v>
      </c>
      <c r="F382">
        <v>86.2</v>
      </c>
      <c r="G382">
        <v>5.2408000465393059</v>
      </c>
      <c r="H382">
        <v>5.6480000000000002E-2</v>
      </c>
      <c r="I382">
        <v>4.75</v>
      </c>
      <c r="J382">
        <v>5.0604176685214002</v>
      </c>
      <c r="K382">
        <v>0.65643662354660037</v>
      </c>
      <c r="L382">
        <v>0.9511283262379967</v>
      </c>
      <c r="M382">
        <v>1.2204999999999999</v>
      </c>
      <c r="N382">
        <v>0.66229989598846439</v>
      </c>
      <c r="O382">
        <v>0.39662197204208383</v>
      </c>
      <c r="P382">
        <v>7.2531090509414683E-2</v>
      </c>
      <c r="Q382">
        <v>0.22277177472972859</v>
      </c>
    </row>
    <row r="383" spans="4:17" hidden="1" x14ac:dyDescent="0.35">
      <c r="D383" t="s">
        <v>92</v>
      </c>
      <c r="E383">
        <v>4</v>
      </c>
      <c r="F383">
        <v>74.75</v>
      </c>
      <c r="G383">
        <v>5.4480000000000004</v>
      </c>
      <c r="H383">
        <v>5.0509999999999999E-2</v>
      </c>
      <c r="I383">
        <v>5.3620000000000001</v>
      </c>
      <c r="J383">
        <v>5.5540000000000003</v>
      </c>
      <c r="K383">
        <v>1.4349349999999998</v>
      </c>
      <c r="L383">
        <v>0.96419499999999991</v>
      </c>
      <c r="M383">
        <v>1.2835000000000001</v>
      </c>
      <c r="N383">
        <v>1.0295125000000001</v>
      </c>
      <c r="O383">
        <v>0.51021749999999999</v>
      </c>
      <c r="P383">
        <v>0.31642749999999997</v>
      </c>
      <c r="Q383">
        <v>0.32493749999999999</v>
      </c>
    </row>
    <row r="384" spans="4:17" hidden="1" x14ac:dyDescent="0.35">
      <c r="D384" t="s">
        <v>222</v>
      </c>
      <c r="E384">
        <v>1</v>
      </c>
      <c r="F384">
        <v>71</v>
      </c>
      <c r="G384">
        <v>5.4720001220703098</v>
      </c>
      <c r="I384">
        <v>5.5495941731333698</v>
      </c>
      <c r="J384">
        <v>5.3944060710072499</v>
      </c>
      <c r="K384">
        <v>1.55167484283447</v>
      </c>
      <c r="L384">
        <v>1.2627909183502199</v>
      </c>
      <c r="N384">
        <v>0.943062424659729</v>
      </c>
      <c r="O384">
        <v>0.49096864461898798</v>
      </c>
      <c r="P384">
        <v>0.29393374919891402</v>
      </c>
      <c r="Q384">
        <v>0.37446579337120101</v>
      </c>
    </row>
    <row r="385" spans="4:17" hidden="1" x14ac:dyDescent="0.35">
      <c r="D385" t="s">
        <v>125</v>
      </c>
      <c r="E385">
        <v>5</v>
      </c>
      <c r="F385">
        <v>80.2</v>
      </c>
      <c r="G385">
        <v>5.329399976348876</v>
      </c>
      <c r="H385">
        <v>6.1069999999999999E-2</v>
      </c>
      <c r="I385">
        <v>5.056</v>
      </c>
      <c r="J385">
        <v>5.24496005430818</v>
      </c>
      <c r="K385">
        <v>1.2040743868560799</v>
      </c>
      <c r="L385">
        <v>1.1589743639755234</v>
      </c>
      <c r="M385">
        <v>1.4055</v>
      </c>
      <c r="N385">
        <v>0.73657869050598146</v>
      </c>
      <c r="O385">
        <v>0.23053670386219022</v>
      </c>
      <c r="P385">
        <v>3.0187387481927879E-2</v>
      </c>
      <c r="Q385">
        <v>8.948033248186113E-2</v>
      </c>
    </row>
    <row r="386" spans="4:17" x14ac:dyDescent="0.35">
      <c r="D386" t="s">
        <v>14</v>
      </c>
      <c r="E386">
        <v>5</v>
      </c>
      <c r="F386">
        <v>3.2</v>
      </c>
      <c r="G386">
        <v>7.5110000373840338</v>
      </c>
      <c r="H386">
        <v>4.8840000000000001E-2</v>
      </c>
      <c r="I386">
        <v>7.3330000000000002</v>
      </c>
      <c r="J386">
        <v>7.6689999999999996</v>
      </c>
      <c r="K386">
        <v>1.3865226040801999</v>
      </c>
      <c r="L386">
        <v>1.3986880023447668</v>
      </c>
      <c r="M386">
        <v>1.6339999999999999</v>
      </c>
      <c r="N386">
        <v>0.91774442442321791</v>
      </c>
      <c r="O386">
        <v>0.61803452706527706</v>
      </c>
      <c r="P386">
        <v>0.14014531189441681</v>
      </c>
      <c r="Q386">
        <v>0.41912404414749138</v>
      </c>
    </row>
    <row r="387" spans="4:17" hidden="1" x14ac:dyDescent="0.35">
      <c r="D387" t="s">
        <v>138</v>
      </c>
      <c r="E387">
        <v>5</v>
      </c>
      <c r="F387">
        <v>126</v>
      </c>
      <c r="G387">
        <v>4.2978000114440924</v>
      </c>
      <c r="H387">
        <v>2.043E-2</v>
      </c>
      <c r="I387">
        <v>4.351</v>
      </c>
      <c r="J387">
        <v>4.4569999999999999</v>
      </c>
      <c r="K387">
        <v>0.73071424962997433</v>
      </c>
      <c r="L387">
        <v>0.47619419891357434</v>
      </c>
      <c r="M387">
        <v>0.75600000000000001</v>
      </c>
      <c r="N387">
        <v>0.49892552336692819</v>
      </c>
      <c r="O387">
        <v>0.46153940099906932</v>
      </c>
      <c r="P387">
        <v>8.847337705183031E-2</v>
      </c>
      <c r="Q387">
        <v>0.22371369789218898</v>
      </c>
    </row>
    <row r="388" spans="4:17" hidden="1" x14ac:dyDescent="0.35">
      <c r="D388" t="s">
        <v>94</v>
      </c>
      <c r="E388">
        <v>5</v>
      </c>
      <c r="F388">
        <v>84.4</v>
      </c>
      <c r="G388">
        <v>5.2520000167846685</v>
      </c>
      <c r="H388">
        <v>2.596E-2</v>
      </c>
      <c r="I388">
        <v>5.2370000000000001</v>
      </c>
      <c r="J388">
        <v>5.391</v>
      </c>
      <c r="K388">
        <v>0.92096971846771236</v>
      </c>
      <c r="L388">
        <v>1.0792582330958034</v>
      </c>
      <c r="M388">
        <v>1.2090000000000001</v>
      </c>
      <c r="N388">
        <v>0.56120314410591132</v>
      </c>
      <c r="O388">
        <v>0.46616069264030457</v>
      </c>
      <c r="P388">
        <v>1.290742709809542E-2</v>
      </c>
      <c r="Q388">
        <v>0.53485291758728015</v>
      </c>
    </row>
    <row r="389" spans="4:17" hidden="1" x14ac:dyDescent="0.35">
      <c r="D389" t="s">
        <v>131</v>
      </c>
      <c r="E389">
        <v>5</v>
      </c>
      <c r="F389">
        <v>109.2</v>
      </c>
      <c r="G389">
        <v>4.6891999824523918</v>
      </c>
      <c r="H389">
        <v>4.4490000000000002E-2</v>
      </c>
      <c r="I389">
        <v>4.7030000000000003</v>
      </c>
      <c r="J389">
        <v>4.923</v>
      </c>
      <c r="K389">
        <v>1.0884506213912961</v>
      </c>
      <c r="L389">
        <v>0.54819708300908399</v>
      </c>
      <c r="M389">
        <v>0.80649999999999999</v>
      </c>
      <c r="N389">
        <v>0.6911406377067566</v>
      </c>
      <c r="O389">
        <v>0.30781852162265777</v>
      </c>
      <c r="P389">
        <v>8.3418214699983603E-2</v>
      </c>
      <c r="Q389">
        <v>0.34109658264923104</v>
      </c>
    </row>
    <row r="390" spans="4:17" hidden="1" x14ac:dyDescent="0.35">
      <c r="D390" t="s">
        <v>133</v>
      </c>
      <c r="E390">
        <v>5</v>
      </c>
      <c r="F390">
        <v>116.8</v>
      </c>
      <c r="G390">
        <v>4.5284000434875482</v>
      </c>
      <c r="H390">
        <v>5.2319999999999998E-2</v>
      </c>
      <c r="I390">
        <v>4.4459999999999997</v>
      </c>
      <c r="J390">
        <v>4.7039999999999997</v>
      </c>
      <c r="K390">
        <v>1.043188097091674</v>
      </c>
      <c r="L390">
        <v>0.79651773260116565</v>
      </c>
      <c r="M390">
        <v>0.97550000000000003</v>
      </c>
      <c r="N390">
        <v>0.54486209399795538</v>
      </c>
      <c r="O390">
        <v>0.21642310653877264</v>
      </c>
      <c r="P390">
        <v>0.1130911509375572</v>
      </c>
      <c r="Q390">
        <v>0.17414945280265801</v>
      </c>
    </row>
    <row r="391" spans="4:17" hidden="1" x14ac:dyDescent="0.35">
      <c r="D391" t="s">
        <v>34</v>
      </c>
      <c r="E391">
        <v>5</v>
      </c>
      <c r="F391">
        <v>16.399999999999999</v>
      </c>
      <c r="G391">
        <v>6.964400047302246</v>
      </c>
      <c r="H391">
        <v>3.6760000000000001E-2</v>
      </c>
      <c r="I391">
        <v>6.8360000000000003</v>
      </c>
      <c r="J391">
        <v>6.9779999999999998</v>
      </c>
      <c r="K391">
        <v>1.4604153278579723</v>
      </c>
      <c r="L391">
        <v>1.3630937051137302</v>
      </c>
      <c r="M391">
        <v>1.5680000000000001</v>
      </c>
      <c r="N391">
        <v>0.87893252484893802</v>
      </c>
      <c r="O391">
        <v>0.57219206840515136</v>
      </c>
      <c r="P391">
        <v>0.29979163066291803</v>
      </c>
      <c r="Q391">
        <v>0.38829966457176196</v>
      </c>
    </row>
    <row r="392" spans="4:17" hidden="1" x14ac:dyDescent="0.35">
      <c r="D392" t="s">
        <v>25</v>
      </c>
      <c r="E392">
        <v>5</v>
      </c>
      <c r="F392">
        <v>13</v>
      </c>
      <c r="G392">
        <v>7.142199964141847</v>
      </c>
      <c r="H392">
        <v>3.4700000000000002E-2</v>
      </c>
      <c r="I392">
        <v>7.1989999999999998</v>
      </c>
      <c r="J392">
        <v>7.335</v>
      </c>
      <c r="K392">
        <v>1.303722484680176</v>
      </c>
      <c r="L392">
        <v>1.1985299879074101</v>
      </c>
      <c r="M392">
        <v>1.5070000000000001</v>
      </c>
      <c r="N392">
        <v>0.90268879996108997</v>
      </c>
      <c r="O392">
        <v>0.41749972076606756</v>
      </c>
      <c r="P392">
        <v>0.12087442001199722</v>
      </c>
      <c r="Q392">
        <v>0.3199365309906006</v>
      </c>
    </row>
    <row r="393" spans="4:17" hidden="1" x14ac:dyDescent="0.35">
      <c r="D393" t="s">
        <v>69</v>
      </c>
      <c r="E393">
        <v>5</v>
      </c>
      <c r="F393">
        <v>46.2</v>
      </c>
      <c r="G393">
        <v>6.0224000450134278</v>
      </c>
      <c r="H393">
        <v>3.9140000000000001E-2</v>
      </c>
      <c r="I393">
        <v>5.8979999999999997</v>
      </c>
      <c r="J393">
        <v>6.056</v>
      </c>
      <c r="K393">
        <v>1.3118313237838741</v>
      </c>
      <c r="L393">
        <v>1.2281210938898734</v>
      </c>
      <c r="M393">
        <v>1.4944999999999999</v>
      </c>
      <c r="N393">
        <v>0.92872486953353872</v>
      </c>
      <c r="O393">
        <v>0.2438161425361634</v>
      </c>
      <c r="P393">
        <v>2.811961828315258E-2</v>
      </c>
      <c r="Q393">
        <v>0.17257192963504803</v>
      </c>
    </row>
    <row r="394" spans="4:17" hidden="1" x14ac:dyDescent="0.35">
      <c r="D394" t="s">
        <v>172</v>
      </c>
      <c r="E394">
        <v>5</v>
      </c>
      <c r="F394">
        <v>124.8</v>
      </c>
      <c r="G394">
        <v>4.2731999656677235</v>
      </c>
      <c r="H394">
        <v>5.1409999999999997E-2</v>
      </c>
      <c r="I394">
        <v>3.8260000000000001</v>
      </c>
      <c r="J394">
        <v>4.0848170934617496</v>
      </c>
      <c r="K394">
        <v>0.54669178412628183</v>
      </c>
      <c r="L394">
        <v>0.75056334341684972</v>
      </c>
      <c r="M394">
        <v>0.84000000000000008</v>
      </c>
      <c r="N394">
        <v>0.11145043393683433</v>
      </c>
      <c r="O394">
        <v>0.42839923854637141</v>
      </c>
      <c r="P394">
        <v>0.1315163550891876</v>
      </c>
      <c r="Q394">
        <v>0.18125349398231499</v>
      </c>
    </row>
    <row r="395" spans="4:17" hidden="1" x14ac:dyDescent="0.35">
      <c r="D395" t="s">
        <v>84</v>
      </c>
      <c r="E395">
        <v>5</v>
      </c>
      <c r="F395">
        <v>65.2</v>
      </c>
      <c r="G395">
        <v>5.6619999740600582</v>
      </c>
      <c r="H395">
        <v>0.13693</v>
      </c>
      <c r="I395">
        <v>5.3150000000000004</v>
      </c>
      <c r="J395">
        <v>5.7050000000000001</v>
      </c>
      <c r="K395">
        <v>0.85585786189270008</v>
      </c>
      <c r="L395">
        <v>1.1609860214360566</v>
      </c>
      <c r="M395">
        <v>1.4855</v>
      </c>
      <c r="N395">
        <v>0.68942447683334351</v>
      </c>
      <c r="O395">
        <v>0.49593944781112675</v>
      </c>
      <c r="P395">
        <v>3.6039556203842159E-2</v>
      </c>
      <c r="Q395">
        <v>0.17431366746425619</v>
      </c>
    </row>
    <row r="396" spans="4:17" hidden="1" x14ac:dyDescent="0.35">
      <c r="D396" t="s">
        <v>65</v>
      </c>
      <c r="E396">
        <v>5</v>
      </c>
      <c r="F396">
        <v>52.4</v>
      </c>
      <c r="G396">
        <v>5.9258000152587895</v>
      </c>
      <c r="H396">
        <v>3.5810000000000002E-2</v>
      </c>
      <c r="I396">
        <v>5.85</v>
      </c>
      <c r="J396">
        <v>5.992</v>
      </c>
      <c r="K396">
        <v>1.3377450356597902</v>
      </c>
      <c r="L396">
        <v>1.2513326095453901</v>
      </c>
      <c r="M396">
        <v>1.4405000000000001</v>
      </c>
      <c r="N396">
        <v>0.97909917421722414</v>
      </c>
      <c r="O396">
        <v>0.49347710919570914</v>
      </c>
      <c r="P396">
        <v>0.16484214731693261</v>
      </c>
      <c r="Q396">
        <v>9.5572553630352011E-2</v>
      </c>
    </row>
    <row r="397" spans="4:17" hidden="1" x14ac:dyDescent="0.35">
      <c r="D397" t="s">
        <v>103</v>
      </c>
      <c r="E397">
        <v>5</v>
      </c>
      <c r="F397">
        <v>85.4</v>
      </c>
      <c r="G397">
        <v>5.1795999931335448</v>
      </c>
      <c r="H397">
        <v>4.5240000000000002E-2</v>
      </c>
      <c r="I397">
        <v>5.1870000000000003</v>
      </c>
      <c r="J397">
        <v>5.4189999999999996</v>
      </c>
      <c r="K397">
        <v>0.90974447888565046</v>
      </c>
      <c r="L397">
        <v>1.0517229643122368</v>
      </c>
      <c r="M397">
        <v>1.2450000000000001</v>
      </c>
      <c r="N397">
        <v>0.67362001166534413</v>
      </c>
      <c r="O397">
        <v>0.40725222985076898</v>
      </c>
      <c r="P397">
        <v>0.13194065443754202</v>
      </c>
      <c r="Q397">
        <v>0.13306409204483038</v>
      </c>
    </row>
    <row r="398" spans="4:17" hidden="1" x14ac:dyDescent="0.35">
      <c r="D398" t="s">
        <v>73</v>
      </c>
      <c r="E398">
        <v>5</v>
      </c>
      <c r="F398">
        <v>57.6</v>
      </c>
      <c r="G398">
        <v>5.8383999534606943</v>
      </c>
      <c r="H398">
        <v>4.1140000000000003E-2</v>
      </c>
      <c r="I398">
        <v>5.8369999999999997</v>
      </c>
      <c r="J398">
        <v>6.0010000000000003</v>
      </c>
      <c r="K398">
        <v>1.1905052539291381</v>
      </c>
      <c r="L398">
        <v>1.15407300523122</v>
      </c>
      <c r="M398">
        <v>1.512</v>
      </c>
      <c r="N398">
        <v>0.63671631012725849</v>
      </c>
      <c r="O398">
        <v>0.44462885664749141</v>
      </c>
      <c r="P398">
        <v>0.10642857727718361</v>
      </c>
      <c r="Q398">
        <v>0.15286888461208342</v>
      </c>
    </row>
    <row r="399" spans="4:17" hidden="1" x14ac:dyDescent="0.35">
      <c r="D399" t="s">
        <v>146</v>
      </c>
      <c r="E399">
        <v>5</v>
      </c>
      <c r="F399">
        <v>120.8</v>
      </c>
      <c r="G399">
        <v>4.4493999946594238</v>
      </c>
      <c r="H399">
        <v>4.734E-2</v>
      </c>
      <c r="I399">
        <v>4.2590000000000003</v>
      </c>
      <c r="J399">
        <v>4.4530000000000003</v>
      </c>
      <c r="K399">
        <v>0.49057189242935173</v>
      </c>
      <c r="L399">
        <v>0.94303690851847322</v>
      </c>
      <c r="M399">
        <v>1.0155000000000001</v>
      </c>
      <c r="N399">
        <v>0.41216166993522646</v>
      </c>
      <c r="O399">
        <v>0.44313475321006779</v>
      </c>
      <c r="P399">
        <v>5.9578263843059545E-2</v>
      </c>
      <c r="Q399">
        <v>0.39151206187248216</v>
      </c>
    </row>
    <row r="400" spans="4:17" hidden="1" x14ac:dyDescent="0.35">
      <c r="D400" t="s">
        <v>88</v>
      </c>
      <c r="E400">
        <v>5</v>
      </c>
      <c r="F400">
        <v>67.2</v>
      </c>
      <c r="G400">
        <v>5.6061999610900886</v>
      </c>
      <c r="H400">
        <v>5.0180000000000002E-2</v>
      </c>
      <c r="I400">
        <v>5.3079999999999998</v>
      </c>
      <c r="J400">
        <v>5.4939999999999998</v>
      </c>
      <c r="K400">
        <v>0.87828287643051139</v>
      </c>
      <c r="L400">
        <v>0.87015116774240997</v>
      </c>
      <c r="M400">
        <v>1.2309999999999999</v>
      </c>
      <c r="N400">
        <v>0.60975441004180897</v>
      </c>
      <c r="O400">
        <v>0.31774758810043335</v>
      </c>
      <c r="P400">
        <v>3.9870323611259459E-2</v>
      </c>
      <c r="Q400">
        <v>0.28379028950119023</v>
      </c>
    </row>
    <row r="401" spans="4:17" hidden="1" x14ac:dyDescent="0.35">
      <c r="D401" t="s">
        <v>58</v>
      </c>
      <c r="E401">
        <v>5</v>
      </c>
      <c r="F401">
        <v>43</v>
      </c>
      <c r="G401">
        <v>6.148600003814698</v>
      </c>
      <c r="H401">
        <v>4.4560000000000002E-2</v>
      </c>
      <c r="I401">
        <v>6.1539999999999999</v>
      </c>
      <c r="J401">
        <v>6.3239999999999998</v>
      </c>
      <c r="K401">
        <v>1.555662490341186</v>
      </c>
      <c r="L401">
        <v>1.1010729161961867</v>
      </c>
      <c r="M401">
        <v>1.31</v>
      </c>
      <c r="N401">
        <v>0.69514314162445046</v>
      </c>
      <c r="O401">
        <v>0.50599751852035524</v>
      </c>
      <c r="P401">
        <v>0.18218791006183618</v>
      </c>
      <c r="Q401">
        <v>0.1718439595804214</v>
      </c>
    </row>
    <row r="402" spans="4:17" hidden="1" x14ac:dyDescent="0.35">
      <c r="D402" t="s">
        <v>97</v>
      </c>
      <c r="E402">
        <v>5</v>
      </c>
      <c r="F402">
        <v>87.6</v>
      </c>
      <c r="G402">
        <v>5.1734000373840336</v>
      </c>
      <c r="H402">
        <v>3.823E-2</v>
      </c>
      <c r="I402">
        <v>5.0899199031293403</v>
      </c>
      <c r="J402">
        <v>5.2670000000000003</v>
      </c>
      <c r="K402">
        <v>0.54238801521682745</v>
      </c>
      <c r="L402">
        <v>1.1665761970647166</v>
      </c>
      <c r="M402">
        <v>1.427</v>
      </c>
      <c r="N402">
        <v>0.61516555931472783</v>
      </c>
      <c r="O402">
        <v>0.46796667774009693</v>
      </c>
      <c r="P402">
        <v>3.7475835800647742E-2</v>
      </c>
      <c r="Q402">
        <v>0.33884007470512401</v>
      </c>
    </row>
    <row r="403" spans="4:17" hidden="1" x14ac:dyDescent="0.35">
      <c r="D403" t="s">
        <v>120</v>
      </c>
      <c r="E403">
        <v>4</v>
      </c>
      <c r="F403">
        <v>104</v>
      </c>
      <c r="G403">
        <v>4.7927499999999998</v>
      </c>
      <c r="H403">
        <v>6.6979999999999998E-2</v>
      </c>
      <c r="I403">
        <v>4.742</v>
      </c>
      <c r="J403">
        <v>5.01</v>
      </c>
      <c r="K403">
        <v>0.68876999999999999</v>
      </c>
      <c r="L403">
        <v>0.64386499999999991</v>
      </c>
      <c r="M403">
        <v>1.032</v>
      </c>
      <c r="N403">
        <v>0.48099999999999998</v>
      </c>
      <c r="O403">
        <v>0.57264750000000009</v>
      </c>
      <c r="P403">
        <v>0.20118</v>
      </c>
      <c r="Q403">
        <v>0.33717750000000002</v>
      </c>
    </row>
    <row r="404" spans="4:17" hidden="1" x14ac:dyDescent="0.35">
      <c r="D404" t="s">
        <v>110</v>
      </c>
      <c r="E404">
        <v>5</v>
      </c>
      <c r="F404">
        <v>63.4</v>
      </c>
      <c r="G404">
        <v>5.6761999809265138</v>
      </c>
      <c r="H404">
        <v>4.6399999999999997E-2</v>
      </c>
      <c r="I404">
        <v>5.4859999999999998</v>
      </c>
      <c r="J404">
        <v>5.77973627105355</v>
      </c>
      <c r="K404">
        <v>1.1853497249603282</v>
      </c>
      <c r="L404">
        <v>1.1501949806594833</v>
      </c>
      <c r="M404">
        <v>1.4595</v>
      </c>
      <c r="N404">
        <v>0.69709139416503907</v>
      </c>
      <c r="O404">
        <v>0.30587558248901359</v>
      </c>
      <c r="P404">
        <v>7.1212545329570789E-2</v>
      </c>
      <c r="Q404">
        <v>0.13535695721340177</v>
      </c>
    </row>
    <row r="405" spans="4:17" hidden="1" x14ac:dyDescent="0.35">
      <c r="D405" t="s">
        <v>124</v>
      </c>
      <c r="E405">
        <v>5</v>
      </c>
      <c r="F405">
        <v>91</v>
      </c>
      <c r="G405">
        <v>5.1495999809265136</v>
      </c>
      <c r="H405">
        <v>4.3369999999999999E-2</v>
      </c>
      <c r="I405">
        <v>5.0309999999999997</v>
      </c>
      <c r="J405">
        <v>5.2270000000000003</v>
      </c>
      <c r="K405">
        <v>1.0350615061416621</v>
      </c>
      <c r="L405">
        <v>0.85715808251698666</v>
      </c>
      <c r="M405">
        <v>1.2015</v>
      </c>
      <c r="N405">
        <v>0.78725221532440182</v>
      </c>
      <c r="O405">
        <v>0.32179119700241077</v>
      </c>
      <c r="P405">
        <v>5.5388765953540808E-2</v>
      </c>
      <c r="Q405">
        <v>0.21998415173912039</v>
      </c>
    </row>
    <row r="406" spans="4:17" hidden="1" x14ac:dyDescent="0.35">
      <c r="D406" t="s">
        <v>118</v>
      </c>
      <c r="E406">
        <v>4</v>
      </c>
      <c r="F406">
        <v>130.25</v>
      </c>
      <c r="G406">
        <v>4.0790000219345099</v>
      </c>
      <c r="H406">
        <v>9.4380000000000006E-2</v>
      </c>
      <c r="I406">
        <v>4.0443439754843702</v>
      </c>
      <c r="J406">
        <v>3.5716561999917</v>
      </c>
      <c r="K406">
        <v>0.46436781172752373</v>
      </c>
      <c r="L406">
        <v>1.1155625931167599</v>
      </c>
      <c r="M406">
        <v>1.1920000000000002</v>
      </c>
      <c r="N406">
        <v>8.0779999999999991E-2</v>
      </c>
      <c r="O406">
        <v>0.37258282480716698</v>
      </c>
      <c r="P406">
        <v>0.112283660004139</v>
      </c>
      <c r="Q406">
        <v>0.13609431797385224</v>
      </c>
    </row>
    <row r="407" spans="4:17" hidden="1" x14ac:dyDescent="0.35">
      <c r="D407" t="s">
        <v>137</v>
      </c>
      <c r="E407">
        <v>5</v>
      </c>
      <c r="F407">
        <v>140.80000000000001</v>
      </c>
      <c r="G407">
        <v>3.8391999984741227</v>
      </c>
      <c r="H407">
        <v>0.11068</v>
      </c>
      <c r="I407">
        <v>3.4630000000000001</v>
      </c>
      <c r="J407">
        <v>3.7810000000000001</v>
      </c>
      <c r="K407">
        <v>8.9260358609676405E-2</v>
      </c>
      <c r="L407">
        <v>0.72177597887039202</v>
      </c>
      <c r="M407">
        <v>0.89</v>
      </c>
      <c r="N407">
        <v>0.30271563935947421</v>
      </c>
      <c r="O407">
        <v>0.332934236486435</v>
      </c>
      <c r="P407">
        <v>4.2557649814367299E-2</v>
      </c>
      <c r="Q407">
        <v>0.23795997705459601</v>
      </c>
    </row>
    <row r="408" spans="4:17" hidden="1" x14ac:dyDescent="0.35">
      <c r="D408" t="s">
        <v>82</v>
      </c>
      <c r="E408">
        <v>5</v>
      </c>
      <c r="F408">
        <v>68</v>
      </c>
      <c r="G408">
        <v>5.5970000190734863</v>
      </c>
      <c r="H408">
        <v>7.8320000000000001E-2</v>
      </c>
      <c r="I408">
        <v>5.4059999999999997</v>
      </c>
      <c r="J408">
        <v>5.8239999999999998</v>
      </c>
      <c r="K408">
        <v>1.0658266128692619</v>
      </c>
      <c r="L408">
        <v>1.1423147767003365</v>
      </c>
      <c r="M408">
        <v>1.3265</v>
      </c>
      <c r="N408">
        <v>0.59460180393981932</v>
      </c>
      <c r="O408">
        <v>0.4402266460227966</v>
      </c>
      <c r="P408">
        <v>0.12124604203605652</v>
      </c>
      <c r="Q408">
        <v>0.15097873329067241</v>
      </c>
    </row>
    <row r="409" spans="4:17" hidden="1" x14ac:dyDescent="0.35">
      <c r="D409" t="s">
        <v>75</v>
      </c>
      <c r="E409">
        <v>5</v>
      </c>
      <c r="F409">
        <v>52</v>
      </c>
      <c r="G409">
        <v>5.9297999900817882</v>
      </c>
      <c r="H409">
        <v>3.8429999999999999E-2</v>
      </c>
      <c r="I409">
        <v>5.734</v>
      </c>
      <c r="J409">
        <v>5.8920000000000003</v>
      </c>
      <c r="K409">
        <v>1.2332024695739741</v>
      </c>
      <c r="L409">
        <v>1.2650253688685098</v>
      </c>
      <c r="M409">
        <v>1.5209999999999999</v>
      </c>
      <c r="N409">
        <v>0.70819398804092404</v>
      </c>
      <c r="O409">
        <v>0.25558835698795324</v>
      </c>
      <c r="P409">
        <v>1.767512857061624E-2</v>
      </c>
      <c r="Q409">
        <v>2.5164931335270403E-2</v>
      </c>
    </row>
    <row r="410" spans="4:17" hidden="1" x14ac:dyDescent="0.35">
      <c r="D410" t="s">
        <v>33</v>
      </c>
      <c r="E410">
        <v>5</v>
      </c>
      <c r="F410">
        <v>17.2</v>
      </c>
      <c r="G410">
        <v>6.9359999832153321</v>
      </c>
      <c r="H410">
        <v>3.499E-2</v>
      </c>
      <c r="I410">
        <v>6.8040000000000003</v>
      </c>
      <c r="J410">
        <v>6.9379999999999997</v>
      </c>
      <c r="K410">
        <v>1.637674719558716</v>
      </c>
      <c r="L410">
        <v>1.2390678886159268</v>
      </c>
      <c r="M410">
        <v>1.4995000000000001</v>
      </c>
      <c r="N410">
        <v>0.90348989903640731</v>
      </c>
      <c r="O410">
        <v>0.5838315782127379</v>
      </c>
      <c r="P410">
        <v>0.33742088480377197</v>
      </c>
      <c r="Q410">
        <v>0.24584619637489316</v>
      </c>
    </row>
    <row r="411" spans="4:17" hidden="1" x14ac:dyDescent="0.35">
      <c r="D411" t="s">
        <v>114</v>
      </c>
      <c r="E411">
        <v>4</v>
      </c>
      <c r="F411">
        <v>92.25</v>
      </c>
      <c r="G411">
        <v>5.1220000476837146</v>
      </c>
      <c r="H411">
        <v>5.3760000000000002E-2</v>
      </c>
      <c r="I411">
        <v>5.0170000000000003</v>
      </c>
      <c r="J411">
        <v>5.2249999999999996</v>
      </c>
      <c r="K411">
        <v>0.99034698428154011</v>
      </c>
      <c r="L411">
        <v>0.99752433798472007</v>
      </c>
      <c r="M411">
        <v>1.2390000000000001</v>
      </c>
      <c r="N411">
        <v>0.67969454612255098</v>
      </c>
      <c r="O411">
        <v>0.33278899466991424</v>
      </c>
      <c r="P411">
        <v>5.9004448389112951E-2</v>
      </c>
      <c r="Q411">
        <v>0.22135524091959002</v>
      </c>
    </row>
    <row r="412" spans="4:17" hidden="1" x14ac:dyDescent="0.35">
      <c r="D412" t="s">
        <v>168</v>
      </c>
      <c r="E412">
        <v>5</v>
      </c>
      <c r="F412">
        <v>145</v>
      </c>
      <c r="G412">
        <v>3.745400010681152</v>
      </c>
      <c r="H412">
        <v>3.6330000000000001E-2</v>
      </c>
      <c r="I412">
        <v>3.621</v>
      </c>
      <c r="J412">
        <v>3.7690000000000001</v>
      </c>
      <c r="K412">
        <v>0.26591773863410939</v>
      </c>
      <c r="L412">
        <v>0.68072679079691556</v>
      </c>
      <c r="M412">
        <v>0.91200000000000003</v>
      </c>
      <c r="N412">
        <v>0.43410466176033025</v>
      </c>
      <c r="O412">
        <v>0.17737535308456417</v>
      </c>
      <c r="P412">
        <v>6.2706395099163065E-2</v>
      </c>
      <c r="Q412">
        <v>0.19329250609493259</v>
      </c>
    </row>
    <row r="413" spans="4:17" hidden="1" x14ac:dyDescent="0.35">
      <c r="D413" t="s">
        <v>152</v>
      </c>
      <c r="E413">
        <v>5</v>
      </c>
      <c r="F413">
        <v>139.19999999999999</v>
      </c>
      <c r="G413">
        <v>3.883000005722046</v>
      </c>
      <c r="H413">
        <v>6.13E-2</v>
      </c>
      <c r="I413">
        <v>4.0410000000000004</v>
      </c>
      <c r="J413">
        <v>4.2709999999999999</v>
      </c>
      <c r="K413">
        <v>0.14271440765953064</v>
      </c>
      <c r="L413">
        <v>0.3569696104812623</v>
      </c>
      <c r="M413">
        <v>0.55049999999999999</v>
      </c>
      <c r="N413">
        <v>0.32706991667938246</v>
      </c>
      <c r="O413">
        <v>0.45715093075561519</v>
      </c>
      <c r="P413">
        <v>7.742433080148696E-2</v>
      </c>
      <c r="Q413">
        <v>0.271226093952179</v>
      </c>
    </row>
    <row r="414" spans="4:17" hidden="1" x14ac:dyDescent="0.35">
      <c r="D414" t="s">
        <v>80</v>
      </c>
      <c r="E414">
        <v>5</v>
      </c>
      <c r="F414">
        <v>53</v>
      </c>
      <c r="G414">
        <v>5.9040000221252438</v>
      </c>
      <c r="H414">
        <v>4.3299999999999998E-2</v>
      </c>
      <c r="I414">
        <v>5.9210000000000003</v>
      </c>
      <c r="J414">
        <v>6.0890000000000004</v>
      </c>
      <c r="K414">
        <v>1.2098990839538579</v>
      </c>
      <c r="L414">
        <v>1.0783753447469067</v>
      </c>
      <c r="M414">
        <v>1.2145000000000001</v>
      </c>
      <c r="N414">
        <v>0.69267688552856432</v>
      </c>
      <c r="O414">
        <v>0.43736299649238575</v>
      </c>
      <c r="P414">
        <v>6.8884141625404363E-2</v>
      </c>
      <c r="Q414">
        <v>0.3466197859268188</v>
      </c>
    </row>
    <row r="415" spans="4:17" hidden="1" x14ac:dyDescent="0.35">
      <c r="D415" t="s">
        <v>159</v>
      </c>
      <c r="E415">
        <v>5</v>
      </c>
      <c r="F415">
        <v>129.19999999999999</v>
      </c>
      <c r="G415">
        <v>4.2190000114440922</v>
      </c>
      <c r="H415">
        <v>5.602E-2</v>
      </c>
      <c r="I415">
        <v>3.988</v>
      </c>
      <c r="J415">
        <v>4.1580000000000004</v>
      </c>
      <c r="K415">
        <v>0.36096809876632696</v>
      </c>
      <c r="L415">
        <v>1.0600211327362066</v>
      </c>
      <c r="M415">
        <v>1.169</v>
      </c>
      <c r="N415">
        <v>0.19973313485145558</v>
      </c>
      <c r="O415">
        <v>0.33292474866104121</v>
      </c>
      <c r="P415">
        <v>9.4592049310684198E-2</v>
      </c>
      <c r="Q415">
        <v>0.1747948397865296</v>
      </c>
    </row>
    <row r="416" spans="4:17" hidden="1" x14ac:dyDescent="0.35">
      <c r="D416" t="s">
        <v>55</v>
      </c>
      <c r="E416">
        <v>5</v>
      </c>
      <c r="F416">
        <v>27.6</v>
      </c>
      <c r="G416">
        <v>6.5339999900817869</v>
      </c>
      <c r="H416">
        <v>4.206E-2</v>
      </c>
      <c r="I416">
        <v>6.4089999999999998</v>
      </c>
      <c r="J416">
        <v>6.5670000000000002</v>
      </c>
      <c r="K416">
        <v>1.2856999677124021</v>
      </c>
      <c r="L416">
        <v>1.2964105549875899</v>
      </c>
      <c r="M416">
        <v>1.5225</v>
      </c>
      <c r="N416">
        <v>0.87906084735107426</v>
      </c>
      <c r="O416">
        <v>0.59027141033935537</v>
      </c>
      <c r="P416">
        <v>0.15149321377754221</v>
      </c>
      <c r="Q416">
        <v>0.48112411501693719</v>
      </c>
    </row>
    <row r="417" spans="4:17" hidden="1" x14ac:dyDescent="0.35">
      <c r="D417" t="s">
        <v>145</v>
      </c>
      <c r="E417">
        <v>5</v>
      </c>
      <c r="F417">
        <v>125</v>
      </c>
      <c r="G417">
        <v>4.3549999633789067</v>
      </c>
      <c r="H417">
        <v>3.9469999999999998E-2</v>
      </c>
      <c r="I417">
        <v>4.1269999999999998</v>
      </c>
      <c r="J417">
        <v>4.2750000000000004</v>
      </c>
      <c r="K417">
        <v>0.56868745774841289</v>
      </c>
      <c r="L417">
        <v>0.99417694346109986</v>
      </c>
      <c r="M417">
        <v>1.206</v>
      </c>
      <c r="N417">
        <v>0.34229585592842093</v>
      </c>
      <c r="O417">
        <v>0.13204360860490799</v>
      </c>
      <c r="P417">
        <v>0.1344234009332656</v>
      </c>
      <c r="Q417">
        <v>0.17754600484085081</v>
      </c>
    </row>
    <row r="418" spans="4:17" hidden="1" x14ac:dyDescent="0.35">
      <c r="D418" t="s">
        <v>90</v>
      </c>
      <c r="E418">
        <v>5</v>
      </c>
      <c r="F418">
        <v>62.6</v>
      </c>
      <c r="G418">
        <v>5.7066000373840335</v>
      </c>
      <c r="H418">
        <v>7.1970000000000006E-2</v>
      </c>
      <c r="I418">
        <v>5.5069999999999997</v>
      </c>
      <c r="J418">
        <v>5.7889999999999997</v>
      </c>
      <c r="K418">
        <v>1.11014510938263</v>
      </c>
      <c r="L418">
        <v>0.98390699677785332</v>
      </c>
      <c r="M418">
        <v>1.3944999999999999</v>
      </c>
      <c r="N418">
        <v>0.69827949240493781</v>
      </c>
      <c r="O418">
        <v>0.51907146522712699</v>
      </c>
      <c r="P418">
        <v>5.5884311036348333E-2</v>
      </c>
      <c r="Q418">
        <v>0.31357675017356884</v>
      </c>
    </row>
    <row r="419" spans="4:17" hidden="1" x14ac:dyDescent="0.35">
      <c r="D419" t="s">
        <v>30</v>
      </c>
      <c r="E419">
        <v>5</v>
      </c>
      <c r="F419">
        <v>21.4</v>
      </c>
      <c r="G419">
        <v>6.7252000137329109</v>
      </c>
      <c r="H419">
        <v>4.1759999999999999E-2</v>
      </c>
      <c r="I419">
        <v>6.67114890769124</v>
      </c>
      <c r="J419">
        <v>6.8760000000000003</v>
      </c>
      <c r="K419">
        <v>1.0793607635726921</v>
      </c>
      <c r="L419">
        <v>0.94665738657633336</v>
      </c>
      <c r="M419">
        <v>1.2875000000000001</v>
      </c>
      <c r="N419">
        <v>0.77156979954147342</v>
      </c>
      <c r="O419">
        <v>0.43672600167274478</v>
      </c>
      <c r="P419">
        <v>0.13948882292175296</v>
      </c>
      <c r="Q419">
        <v>0.10441608655977239</v>
      </c>
    </row>
    <row r="420" spans="4:17" hidden="1" x14ac:dyDescent="0.35">
      <c r="D420" t="s">
        <v>71</v>
      </c>
      <c r="E420">
        <v>5</v>
      </c>
      <c r="F420">
        <v>60.2</v>
      </c>
      <c r="G420">
        <v>5.7585999641418457</v>
      </c>
      <c r="H420">
        <v>3.7990000000000003E-2</v>
      </c>
      <c r="I420">
        <v>5.8230000000000004</v>
      </c>
      <c r="J420">
        <v>5.9710000000000001</v>
      </c>
      <c r="K420">
        <v>0.6714241260528564</v>
      </c>
      <c r="L420">
        <v>1.0328085236867268</v>
      </c>
      <c r="M420">
        <v>1.3145</v>
      </c>
      <c r="N420">
        <v>0.6179630401802062</v>
      </c>
      <c r="O420">
        <v>0.25958580976963042</v>
      </c>
      <c r="P420">
        <v>9.0542572305202414E-3</v>
      </c>
      <c r="Q420">
        <v>0.19405182528114323</v>
      </c>
    </row>
    <row r="421" spans="4:17" hidden="1" x14ac:dyDescent="0.35">
      <c r="D421" t="s">
        <v>121</v>
      </c>
      <c r="E421">
        <v>5</v>
      </c>
      <c r="F421">
        <v>95.6</v>
      </c>
      <c r="G421">
        <v>5.0291999847412097</v>
      </c>
      <c r="H421">
        <v>3.313E-2</v>
      </c>
      <c r="I421">
        <v>4.8380000000000001</v>
      </c>
      <c r="J421">
        <v>4.976</v>
      </c>
      <c r="K421">
        <v>0.94119117311859202</v>
      </c>
      <c r="L421">
        <v>1.2944804120636</v>
      </c>
      <c r="M421">
        <v>1.524</v>
      </c>
      <c r="N421">
        <v>0.59143069689178451</v>
      </c>
      <c r="O421">
        <v>0.38042479376411442</v>
      </c>
      <c r="P421">
        <v>3.248245783638954E-2</v>
      </c>
      <c r="Q421">
        <v>0.30083084605979915</v>
      </c>
    </row>
    <row r="422" spans="4:17" hidden="1" x14ac:dyDescent="0.35">
      <c r="D422" t="s">
        <v>104</v>
      </c>
      <c r="E422">
        <v>5</v>
      </c>
      <c r="F422">
        <v>81.400000000000006</v>
      </c>
      <c r="G422">
        <v>5.2919999977111818</v>
      </c>
      <c r="H422">
        <v>5.2350000000000001E-2</v>
      </c>
      <c r="I422">
        <v>5.0549999999999997</v>
      </c>
      <c r="J422">
        <v>5.2670000000000003</v>
      </c>
      <c r="K422">
        <v>1.0483778071899419</v>
      </c>
      <c r="L422">
        <v>0.96189216607411654</v>
      </c>
      <c r="M422">
        <v>1.3199999999999998</v>
      </c>
      <c r="N422">
        <v>0.72560093470382703</v>
      </c>
      <c r="O422">
        <v>0.1969398110790252</v>
      </c>
      <c r="P422">
        <v>0.10386883881950379</v>
      </c>
      <c r="Q422">
        <v>0.1568442048187256</v>
      </c>
    </row>
    <row r="423" spans="4:17" hidden="1" x14ac:dyDescent="0.35">
      <c r="D423" t="s">
        <v>113</v>
      </c>
      <c r="E423">
        <v>5</v>
      </c>
      <c r="F423">
        <v>88</v>
      </c>
      <c r="G423">
        <v>5.1722000267028791</v>
      </c>
      <c r="H423">
        <v>3.4200000000000001E-2</v>
      </c>
      <c r="I423">
        <v>5.0579999999999998</v>
      </c>
      <c r="J423">
        <v>5.2439999999999998</v>
      </c>
      <c r="K423">
        <v>0.80669691622161854</v>
      </c>
      <c r="L423">
        <v>0.60058814506530755</v>
      </c>
      <c r="M423">
        <v>0.78950000000000009</v>
      </c>
      <c r="N423">
        <v>0.65059213380813596</v>
      </c>
      <c r="O423">
        <v>0.39190566642189018</v>
      </c>
      <c r="P423">
        <v>8.1452636563777922E-2</v>
      </c>
      <c r="Q423">
        <v>4.12919910311699E-2</v>
      </c>
    </row>
    <row r="424" spans="4:17" hidden="1" x14ac:dyDescent="0.35">
      <c r="D424" t="s">
        <v>115</v>
      </c>
      <c r="E424">
        <v>4</v>
      </c>
      <c r="F424">
        <v>113.25</v>
      </c>
      <c r="G424">
        <v>4.6010000476837147</v>
      </c>
      <c r="H424">
        <v>7.8960000000000002E-2</v>
      </c>
      <c r="I424">
        <v>4.7741023263335203</v>
      </c>
      <c r="J424">
        <v>4.3258980551362001</v>
      </c>
      <c r="K424">
        <v>0.179846412498951</v>
      </c>
      <c r="L424">
        <v>0.94848050749778745</v>
      </c>
      <c r="M424">
        <v>0.94399999999999995</v>
      </c>
      <c r="N424">
        <v>0.19024110884904849</v>
      </c>
      <c r="O424">
        <v>0.46154027297973627</v>
      </c>
      <c r="P424">
        <v>0.15786659640789025</v>
      </c>
      <c r="Q424">
        <v>0.23697952596902849</v>
      </c>
    </row>
    <row r="425" spans="4:17" hidden="1" x14ac:dyDescent="0.35">
      <c r="D425" t="s">
        <v>150</v>
      </c>
      <c r="E425">
        <v>5</v>
      </c>
      <c r="F425">
        <v>124.6</v>
      </c>
      <c r="G425">
        <v>4.3830000152587898</v>
      </c>
      <c r="H425">
        <v>4.351E-2</v>
      </c>
      <c r="I425">
        <v>4.327</v>
      </c>
      <c r="J425">
        <v>4.4752602061629299</v>
      </c>
      <c r="K425">
        <v>0.474262110080719</v>
      </c>
      <c r="L425">
        <v>0.84403198031107662</v>
      </c>
      <c r="M425">
        <v>1.1775</v>
      </c>
      <c r="N425">
        <v>0.45255651374053957</v>
      </c>
      <c r="O425">
        <v>0.4973164069824218</v>
      </c>
      <c r="P425">
        <v>0.18631724093341817</v>
      </c>
      <c r="Q425">
        <v>0.72353303219604492</v>
      </c>
    </row>
    <row r="426" spans="4:17" hidden="1" x14ac:dyDescent="0.35">
      <c r="D426" t="s">
        <v>211</v>
      </c>
      <c r="E426">
        <v>4</v>
      </c>
      <c r="F426">
        <v>114</v>
      </c>
      <c r="G426">
        <v>4.5569999704360944</v>
      </c>
      <c r="I426">
        <v>4.3739999999999997</v>
      </c>
      <c r="J426">
        <v>4.774</v>
      </c>
      <c r="K426">
        <v>0.91257608142375946</v>
      </c>
      <c r="L426">
        <v>0.90104540353774998</v>
      </c>
      <c r="M426">
        <v>1.2969999999999999</v>
      </c>
      <c r="N426">
        <v>0.38201545284986493</v>
      </c>
      <c r="O426">
        <v>0.48161088684558878</v>
      </c>
      <c r="P426">
        <v>7.9281743089556697E-2</v>
      </c>
      <c r="Q426">
        <v>6.902093623876572E-2</v>
      </c>
    </row>
    <row r="427" spans="4:17" hidden="1" x14ac:dyDescent="0.35">
      <c r="D427" t="s">
        <v>142</v>
      </c>
      <c r="E427">
        <v>5</v>
      </c>
      <c r="F427">
        <v>105.6</v>
      </c>
      <c r="G427">
        <v>4.8123999786376963</v>
      </c>
      <c r="H427">
        <v>3.6069999999999998E-2</v>
      </c>
      <c r="I427">
        <v>4.6980000000000004</v>
      </c>
      <c r="J427">
        <v>4.8879999999999999</v>
      </c>
      <c r="K427">
        <v>0.43141003837203984</v>
      </c>
      <c r="L427">
        <v>0.91358775376637669</v>
      </c>
      <c r="M427">
        <v>1.2269999999999999</v>
      </c>
      <c r="N427">
        <v>0.55792015613937385</v>
      </c>
      <c r="O427">
        <v>0.43164918965148918</v>
      </c>
      <c r="P427">
        <v>7.3825109224319466E-2</v>
      </c>
      <c r="Q427">
        <v>0.33713123317909244</v>
      </c>
    </row>
    <row r="428" spans="4:17" hidden="1" x14ac:dyDescent="0.35">
      <c r="D428" t="s">
        <v>20</v>
      </c>
      <c r="E428">
        <v>5</v>
      </c>
      <c r="F428">
        <v>6.2</v>
      </c>
      <c r="G428">
        <v>7.4045999710083006</v>
      </c>
      <c r="H428">
        <v>2.7990000000000001E-2</v>
      </c>
      <c r="I428">
        <v>7.2839999999999998</v>
      </c>
      <c r="J428">
        <v>7.3940000000000001</v>
      </c>
      <c r="K428">
        <v>1.4110129270782479</v>
      </c>
      <c r="L428">
        <v>1.2460764077631632</v>
      </c>
      <c r="M428">
        <v>1.5049999999999999</v>
      </c>
      <c r="N428">
        <v>0.87856922500610357</v>
      </c>
      <c r="O428">
        <v>0.58965089762115475</v>
      </c>
      <c r="P428">
        <v>0.29861436508369443</v>
      </c>
      <c r="Q428">
        <v>0.41514996595573422</v>
      </c>
    </row>
    <row r="429" spans="4:17" hidden="1" x14ac:dyDescent="0.35">
      <c r="D429" t="s">
        <v>22</v>
      </c>
      <c r="E429">
        <v>5</v>
      </c>
      <c r="F429">
        <v>8.1999999999999993</v>
      </c>
      <c r="G429">
        <v>7.3130000259399424</v>
      </c>
      <c r="H429">
        <v>3.3709999999999997E-2</v>
      </c>
      <c r="I429">
        <v>7.2640000000000002</v>
      </c>
      <c r="J429">
        <v>7.4039999999999999</v>
      </c>
      <c r="K429">
        <v>1.317509209602356</v>
      </c>
      <c r="L429">
        <v>1.3468817078908299</v>
      </c>
      <c r="M429">
        <v>1.579</v>
      </c>
      <c r="N429">
        <v>0.89161794110870363</v>
      </c>
      <c r="O429">
        <v>0.61778242609024037</v>
      </c>
      <c r="P429">
        <v>0.40001534042549142</v>
      </c>
      <c r="Q429">
        <v>0.43280502519989017</v>
      </c>
    </row>
    <row r="430" spans="4:17" hidden="1" x14ac:dyDescent="0.35">
      <c r="D430" t="s">
        <v>76</v>
      </c>
      <c r="E430">
        <v>5</v>
      </c>
      <c r="F430">
        <v>46.8</v>
      </c>
      <c r="G430">
        <v>6.0274000198364259</v>
      </c>
      <c r="H430">
        <v>5.3710000000000001E-2</v>
      </c>
      <c r="I430">
        <v>5.8769999999999998</v>
      </c>
      <c r="J430">
        <v>6.1070000000000002</v>
      </c>
      <c r="K430">
        <v>0.67727784077453623</v>
      </c>
      <c r="L430">
        <v>1.1080885698954266</v>
      </c>
      <c r="M430">
        <v>1.3220000000000001</v>
      </c>
      <c r="N430">
        <v>0.71667319212341296</v>
      </c>
      <c r="O430">
        <v>0.4860243693008422</v>
      </c>
      <c r="P430">
        <v>0.14835559636878962</v>
      </c>
      <c r="Q430">
        <v>0.25711084339714058</v>
      </c>
    </row>
    <row r="431" spans="4:17" hidden="1" x14ac:dyDescent="0.35">
      <c r="D431" t="s">
        <v>165</v>
      </c>
      <c r="E431">
        <v>5</v>
      </c>
      <c r="F431">
        <v>133.80000000000001</v>
      </c>
      <c r="G431">
        <v>4.1045999755859386</v>
      </c>
      <c r="H431">
        <v>3.6020000000000003E-2</v>
      </c>
      <c r="I431">
        <v>3.7810000000000001</v>
      </c>
      <c r="J431">
        <v>3.9440529361367198</v>
      </c>
      <c r="K431">
        <v>0.12660506615161901</v>
      </c>
      <c r="L431">
        <v>0.7903250016212463</v>
      </c>
      <c r="M431">
        <v>0.82050000000000001</v>
      </c>
      <c r="N431">
        <v>0.28283900140571605</v>
      </c>
      <c r="O431">
        <v>0.38579773928260802</v>
      </c>
      <c r="P431">
        <v>0.13354458923816678</v>
      </c>
      <c r="Q431">
        <v>0.19904876910591121</v>
      </c>
    </row>
    <row r="432" spans="4:17" hidden="1" x14ac:dyDescent="0.35">
      <c r="D432" t="s">
        <v>98</v>
      </c>
      <c r="E432">
        <v>5</v>
      </c>
      <c r="F432">
        <v>90.4</v>
      </c>
      <c r="G432">
        <v>5.1273999763488769</v>
      </c>
      <c r="H432">
        <v>4.1919999999999999E-2</v>
      </c>
      <c r="I432">
        <v>4.75</v>
      </c>
      <c r="J432">
        <v>5</v>
      </c>
      <c r="K432">
        <v>0.71505325122070329</v>
      </c>
      <c r="L432">
        <v>0.92169016100565671</v>
      </c>
      <c r="M432">
        <v>1.1415</v>
      </c>
      <c r="N432">
        <v>0.11221314604759217</v>
      </c>
      <c r="O432">
        <v>0.38096651308631901</v>
      </c>
      <c r="P432">
        <v>3.3984313214421288E-2</v>
      </c>
      <c r="Q432">
        <v>0.23029343929672247</v>
      </c>
    </row>
    <row r="433" spans="4:17" hidden="1" x14ac:dyDescent="0.35">
      <c r="D433" t="s">
        <v>85</v>
      </c>
      <c r="E433">
        <v>3</v>
      </c>
      <c r="F433">
        <v>63</v>
      </c>
      <c r="G433">
        <v>5.7586666475931807</v>
      </c>
      <c r="H433">
        <v>5.6349999999999997E-2</v>
      </c>
      <c r="I433">
        <v>5.67</v>
      </c>
      <c r="J433">
        <v>5.8719999999999999</v>
      </c>
      <c r="K433">
        <v>1.2887937703832</v>
      </c>
      <c r="L433">
        <v>1.0248811257171633</v>
      </c>
      <c r="N433">
        <v>0.86654241275151567</v>
      </c>
      <c r="O433">
        <v>0.46581120840072637</v>
      </c>
      <c r="P433">
        <v>0.154644450809161</v>
      </c>
      <c r="Q433">
        <v>0.26391856770833333</v>
      </c>
    </row>
    <row r="434" spans="4:17" hidden="1" x14ac:dyDescent="0.35">
      <c r="D434" t="s">
        <v>234</v>
      </c>
      <c r="E434">
        <v>1</v>
      </c>
      <c r="F434">
        <v>84</v>
      </c>
      <c r="G434">
        <v>5.274</v>
      </c>
      <c r="K434">
        <v>0.98299999999999998</v>
      </c>
      <c r="M434">
        <v>1.294</v>
      </c>
      <c r="N434">
        <v>0.83799999999999997</v>
      </c>
      <c r="O434">
        <v>0.34499999999999997</v>
      </c>
      <c r="P434">
        <v>3.4000000000000002E-2</v>
      </c>
      <c r="Q434">
        <v>0.185</v>
      </c>
    </row>
    <row r="435" spans="4:17" hidden="1" x14ac:dyDescent="0.35">
      <c r="D435" t="s">
        <v>233</v>
      </c>
      <c r="E435">
        <v>2</v>
      </c>
      <c r="F435">
        <v>61</v>
      </c>
      <c r="G435">
        <v>5.7765000000000004</v>
      </c>
      <c r="K435">
        <v>1.246</v>
      </c>
      <c r="M435">
        <v>1.2315</v>
      </c>
      <c r="N435">
        <v>0.97550000000000003</v>
      </c>
      <c r="O435">
        <v>0.45599999999999996</v>
      </c>
      <c r="P435">
        <v>0.158</v>
      </c>
      <c r="Q435">
        <v>0.185</v>
      </c>
    </row>
    <row r="436" spans="4:17" x14ac:dyDescent="0.35">
      <c r="D436" t="s">
        <v>16</v>
      </c>
      <c r="E436">
        <v>5</v>
      </c>
      <c r="F436">
        <v>2.8</v>
      </c>
      <c r="G436">
        <v>7.5410000358581541</v>
      </c>
      <c r="H436">
        <v>3.8800000000000001E-2</v>
      </c>
      <c r="I436">
        <v>7.4210000000000003</v>
      </c>
      <c r="J436">
        <v>7.5750000000000002</v>
      </c>
      <c r="K436">
        <v>1.5193806368713378</v>
      </c>
      <c r="L436">
        <v>1.3304578531901035</v>
      </c>
      <c r="M436">
        <v>1.5820000000000001</v>
      </c>
      <c r="N436">
        <v>0.87333330059051517</v>
      </c>
      <c r="O436">
        <v>0.63804851747894276</v>
      </c>
      <c r="P436">
        <v>0.34395076690483101</v>
      </c>
      <c r="Q436">
        <v>0.328990447462082</v>
      </c>
    </row>
    <row r="437" spans="4:17" hidden="1" x14ac:dyDescent="0.35">
      <c r="D437" t="s">
        <v>38</v>
      </c>
      <c r="E437">
        <v>1</v>
      </c>
      <c r="F437">
        <v>22</v>
      </c>
      <c r="G437">
        <v>6.8529999999999998</v>
      </c>
      <c r="H437">
        <v>5.3350000000000002E-2</v>
      </c>
      <c r="K437">
        <v>1.3601099999999999</v>
      </c>
      <c r="L437">
        <v>1.08182</v>
      </c>
      <c r="N437">
        <v>0.76275999999999999</v>
      </c>
      <c r="O437">
        <v>0.63273999999999997</v>
      </c>
      <c r="P437">
        <v>0.32523999999999997</v>
      </c>
      <c r="Q437">
        <v>0.21542</v>
      </c>
    </row>
    <row r="438" spans="4:17" hidden="1" x14ac:dyDescent="0.35">
      <c r="D438" t="s">
        <v>102</v>
      </c>
      <c r="E438">
        <v>5</v>
      </c>
      <c r="F438">
        <v>79</v>
      </c>
      <c r="G438">
        <v>5.3440000106811514</v>
      </c>
      <c r="H438">
        <v>3.7260000000000001E-2</v>
      </c>
      <c r="I438">
        <v>5.0380000000000003</v>
      </c>
      <c r="J438">
        <v>5.226</v>
      </c>
      <c r="K438">
        <v>0.667894706123352</v>
      </c>
      <c r="L438">
        <v>0.449383563187917</v>
      </c>
      <c r="M438">
        <v>0.84800000000000009</v>
      </c>
      <c r="N438">
        <v>0.45575355662727357</v>
      </c>
      <c r="O438">
        <v>0.229891052315712</v>
      </c>
      <c r="P438">
        <v>0.11575761334943779</v>
      </c>
      <c r="Q438">
        <v>0.28000120383453359</v>
      </c>
    </row>
    <row r="439" spans="4:17" hidden="1" x14ac:dyDescent="0.35">
      <c r="D439" t="s">
        <v>129</v>
      </c>
      <c r="E439">
        <v>5</v>
      </c>
      <c r="F439">
        <v>106.6</v>
      </c>
      <c r="G439">
        <v>4.7366000190734852</v>
      </c>
      <c r="H439">
        <v>4.394E-2</v>
      </c>
      <c r="I439">
        <v>4.649</v>
      </c>
      <c r="J439">
        <v>4.859</v>
      </c>
      <c r="K439">
        <v>0.65683184550476081</v>
      </c>
      <c r="L439">
        <v>0.93250571954091332</v>
      </c>
      <c r="M439">
        <v>1.2320000000000002</v>
      </c>
      <c r="N439">
        <v>0.61365139471817032</v>
      </c>
      <c r="O439">
        <v>0.23362821234321601</v>
      </c>
      <c r="P439">
        <v>9.3292520414352417E-2</v>
      </c>
      <c r="Q439">
        <v>0.1054446347808838</v>
      </c>
    </row>
    <row r="440" spans="4:17" hidden="1" x14ac:dyDescent="0.35">
      <c r="D440" t="s">
        <v>42</v>
      </c>
      <c r="E440">
        <v>5</v>
      </c>
      <c r="F440">
        <v>27.6</v>
      </c>
      <c r="G440">
        <v>6.53800002822876</v>
      </c>
      <c r="H440">
        <v>4.9099999999999998E-2</v>
      </c>
      <c r="I440">
        <v>6.5571307161450401</v>
      </c>
      <c r="J440">
        <v>6.8010000000000002</v>
      </c>
      <c r="K440">
        <v>1.1482676871948241</v>
      </c>
      <c r="L440">
        <v>1.1869375162506099</v>
      </c>
      <c r="M440">
        <v>1.44</v>
      </c>
      <c r="N440">
        <v>0.77602322692108161</v>
      </c>
      <c r="O440">
        <v>0.5388793668022156</v>
      </c>
      <c r="P440">
        <v>7.2982784794330596E-2</v>
      </c>
      <c r="Q440">
        <v>0.186139387848854</v>
      </c>
    </row>
    <row r="441" spans="4:17" hidden="1" x14ac:dyDescent="0.35">
      <c r="D441" t="s">
        <v>72</v>
      </c>
      <c r="E441">
        <v>5</v>
      </c>
      <c r="F441">
        <v>64</v>
      </c>
      <c r="G441">
        <v>5.6666000061035167</v>
      </c>
      <c r="H441">
        <v>4.5629999999999997E-2</v>
      </c>
      <c r="I441">
        <v>5.4530000000000003</v>
      </c>
      <c r="J441">
        <v>5.6230000000000002</v>
      </c>
      <c r="K441">
        <v>0.85522346345520006</v>
      </c>
      <c r="L441">
        <v>1.3077216265614833</v>
      </c>
      <c r="M441">
        <v>1.4984999999999999</v>
      </c>
      <c r="N441">
        <v>0.64303613866424558</v>
      </c>
      <c r="O441">
        <v>0.5059695583515168</v>
      </c>
      <c r="P441">
        <v>8.0289182687759392E-2</v>
      </c>
      <c r="Q441">
        <v>0.23310213153076181</v>
      </c>
    </row>
    <row r="442" spans="4:17" hidden="1" x14ac:dyDescent="0.35">
      <c r="D442" t="s">
        <v>77</v>
      </c>
      <c r="E442">
        <v>5</v>
      </c>
      <c r="F442">
        <v>63</v>
      </c>
      <c r="G442">
        <v>5.7284000305175784</v>
      </c>
      <c r="H442">
        <v>4.6149999999999997E-2</v>
      </c>
      <c r="I442">
        <v>5.6470000000000002</v>
      </c>
      <c r="J442">
        <v>5.8390000000000004</v>
      </c>
      <c r="K442">
        <v>0.96508705443572995</v>
      </c>
      <c r="L442">
        <v>1.0019701282628366</v>
      </c>
      <c r="M442">
        <v>1.2615000000000001</v>
      </c>
      <c r="N442">
        <v>0.70365522267532343</v>
      </c>
      <c r="O442">
        <v>0.4449965757808686</v>
      </c>
      <c r="P442">
        <v>4.4171817308187478E-2</v>
      </c>
      <c r="Q442">
        <v>0.11938194298076618</v>
      </c>
    </row>
    <row r="443" spans="4:17" hidden="1" x14ac:dyDescent="0.35">
      <c r="D443" t="s">
        <v>111</v>
      </c>
      <c r="E443">
        <v>5</v>
      </c>
      <c r="F443">
        <v>76.8</v>
      </c>
      <c r="G443">
        <v>5.3873999656677238</v>
      </c>
      <c r="H443">
        <v>4.9340000000000002E-2</v>
      </c>
      <c r="I443">
        <v>5.16</v>
      </c>
      <c r="J443">
        <v>5.3979999999999997</v>
      </c>
      <c r="K443">
        <v>0.79143784308242793</v>
      </c>
      <c r="L443">
        <v>1.0559491916275034</v>
      </c>
      <c r="M443">
        <v>1.3025</v>
      </c>
      <c r="N443">
        <v>0.53790181093215939</v>
      </c>
      <c r="O443">
        <v>0.59204093489456167</v>
      </c>
      <c r="P443">
        <v>0.11033837860536574</v>
      </c>
      <c r="Q443">
        <v>0.17943268464088441</v>
      </c>
    </row>
    <row r="444" spans="4:17" hidden="1" x14ac:dyDescent="0.35">
      <c r="D444" t="s">
        <v>79</v>
      </c>
      <c r="E444">
        <v>5</v>
      </c>
      <c r="F444">
        <v>49</v>
      </c>
      <c r="G444">
        <v>5.9808000099182124</v>
      </c>
      <c r="H444">
        <v>4.2630000000000001E-2</v>
      </c>
      <c r="I444">
        <v>5.7489999999999997</v>
      </c>
      <c r="J444">
        <v>5.9210000000000003</v>
      </c>
      <c r="K444">
        <v>1.2090375725555418</v>
      </c>
      <c r="L444">
        <v>1.2573473234430932</v>
      </c>
      <c r="M444">
        <v>1.4430000000000001</v>
      </c>
      <c r="N444">
        <v>0.76681706959915164</v>
      </c>
      <c r="O444">
        <v>0.50649242231750491</v>
      </c>
      <c r="P444">
        <v>5.408556123876572E-2</v>
      </c>
      <c r="Q444">
        <v>0.13909719331645959</v>
      </c>
    </row>
    <row r="445" spans="4:17" hidden="1" x14ac:dyDescent="0.35">
      <c r="D445" t="s">
        <v>109</v>
      </c>
      <c r="E445">
        <v>5</v>
      </c>
      <c r="F445">
        <v>82.8</v>
      </c>
      <c r="G445">
        <v>5.3046000343322763</v>
      </c>
      <c r="H445">
        <v>4.802E-2</v>
      </c>
      <c r="I445">
        <v>5.03</v>
      </c>
      <c r="J445">
        <v>5.2160000000000002</v>
      </c>
      <c r="K445">
        <v>1.2320310589752199</v>
      </c>
      <c r="L445">
        <v>1.1500210061136869</v>
      </c>
      <c r="M445">
        <v>1.4300000000000002</v>
      </c>
      <c r="N445">
        <v>0.86953270832443241</v>
      </c>
      <c r="O445">
        <v>0.50608505992126462</v>
      </c>
      <c r="P445">
        <v>1.6771890337347981E-2</v>
      </c>
      <c r="Q445">
        <v>9.0240542502403251E-2</v>
      </c>
    </row>
    <row r="446" spans="4:17" hidden="1" x14ac:dyDescent="0.35">
      <c r="D446" t="s">
        <v>207</v>
      </c>
      <c r="E446">
        <v>1</v>
      </c>
      <c r="F446">
        <v>15</v>
      </c>
      <c r="G446">
        <v>7.0389999999999997</v>
      </c>
      <c r="I446">
        <v>6.7939999999999996</v>
      </c>
      <c r="J446">
        <v>7.2839999999999998</v>
      </c>
      <c r="K446">
        <v>1.3594299999999999</v>
      </c>
      <c r="L446">
        <v>1.0811299999999999</v>
      </c>
      <c r="N446">
        <v>0.77758000000000005</v>
      </c>
      <c r="O446">
        <v>0.46822999999999998</v>
      </c>
      <c r="P446">
        <v>0.12275</v>
      </c>
      <c r="Q446">
        <v>0.22202</v>
      </c>
    </row>
    <row r="447" spans="4:17" hidden="1" x14ac:dyDescent="0.35">
      <c r="D447" t="s">
        <v>45</v>
      </c>
      <c r="E447">
        <v>5</v>
      </c>
      <c r="F447">
        <v>32</v>
      </c>
      <c r="G447">
        <v>6.4218000000000002</v>
      </c>
      <c r="H447">
        <v>6.2570000000000001E-2</v>
      </c>
      <c r="I447">
        <v>6.1779999999999999</v>
      </c>
      <c r="J447">
        <v>6.5720000000000001</v>
      </c>
      <c r="K447">
        <v>1.7436911372070321</v>
      </c>
      <c r="L447">
        <v>1.0775122932561232</v>
      </c>
      <c r="M447">
        <v>1.3079999999999998</v>
      </c>
      <c r="N447">
        <v>0.76873161755752561</v>
      </c>
      <c r="O447">
        <v>0.60406419667053224</v>
      </c>
      <c r="P447">
        <v>0.35597385112190238</v>
      </c>
      <c r="Q447">
        <v>0.29121677400779722</v>
      </c>
    </row>
    <row r="448" spans="4:17" hidden="1" x14ac:dyDescent="0.35">
      <c r="D448" t="s">
        <v>107</v>
      </c>
      <c r="E448">
        <v>5</v>
      </c>
      <c r="F448">
        <v>62.8</v>
      </c>
      <c r="G448">
        <v>5.6983999618530277</v>
      </c>
      <c r="H448">
        <v>6.6070000000000004E-2</v>
      </c>
      <c r="I448">
        <v>5.4269999999999996</v>
      </c>
      <c r="J448">
        <v>5.7303054617345301</v>
      </c>
      <c r="K448">
        <v>1.14176678226471</v>
      </c>
      <c r="L448">
        <v>0.92133376349131335</v>
      </c>
      <c r="M448">
        <v>1.2255</v>
      </c>
      <c r="N448">
        <v>0.73621566246414183</v>
      </c>
      <c r="O448">
        <v>0.43296074849128718</v>
      </c>
      <c r="P448">
        <v>4.7335801397860068E-3</v>
      </c>
      <c r="Q448">
        <v>0.1141779835453034</v>
      </c>
    </row>
    <row r="449" spans="4:17" hidden="1" x14ac:dyDescent="0.35">
      <c r="D449" t="s">
        <v>83</v>
      </c>
      <c r="E449">
        <v>5</v>
      </c>
      <c r="F449">
        <v>59.2</v>
      </c>
      <c r="G449">
        <v>5.7985999641418458</v>
      </c>
      <c r="H449">
        <v>3.1350000000000003E-2</v>
      </c>
      <c r="I449">
        <v>5.7889999999999997</v>
      </c>
      <c r="J449">
        <v>5.923</v>
      </c>
      <c r="K449">
        <v>1.1971396194305419</v>
      </c>
      <c r="L449">
        <v>1.2526874628957101</v>
      </c>
      <c r="M449">
        <v>1.4655</v>
      </c>
      <c r="N449">
        <v>0.62630386675262462</v>
      </c>
      <c r="O449">
        <v>0.36007862231445326</v>
      </c>
      <c r="P449">
        <v>3.0974576205730436E-2</v>
      </c>
      <c r="Q449">
        <v>4.5722764481306077E-2</v>
      </c>
    </row>
    <row r="450" spans="4:17" x14ac:dyDescent="0.35">
      <c r="D450" t="s">
        <v>175</v>
      </c>
      <c r="E450">
        <v>5</v>
      </c>
      <c r="F450">
        <v>152</v>
      </c>
      <c r="G450">
        <v>3.4385999912261958</v>
      </c>
      <c r="H450">
        <v>3.4639999999999997E-2</v>
      </c>
      <c r="I450">
        <v>3.444</v>
      </c>
      <c r="J450">
        <v>3.5859999999999999</v>
      </c>
      <c r="K450">
        <v>0.32205717864799499</v>
      </c>
      <c r="L450">
        <v>0.77842234104792263</v>
      </c>
      <c r="M450">
        <v>0.80349999999999999</v>
      </c>
      <c r="N450">
        <v>0.41754296146202075</v>
      </c>
      <c r="O450">
        <v>0.58161077059936528</v>
      </c>
      <c r="P450">
        <v>0.47346800277137763</v>
      </c>
      <c r="Q450">
        <v>0.22631120587348943</v>
      </c>
    </row>
    <row r="451" spans="4:17" hidden="1" x14ac:dyDescent="0.35">
      <c r="D451" t="s">
        <v>53</v>
      </c>
      <c r="E451">
        <v>5</v>
      </c>
      <c r="F451">
        <v>33.4</v>
      </c>
      <c r="G451">
        <v>6.3759999725341796</v>
      </c>
      <c r="H451">
        <v>4.6330000000000003E-2</v>
      </c>
      <c r="I451">
        <v>6.2869999999999999</v>
      </c>
      <c r="J451">
        <v>6.4710000000000001</v>
      </c>
      <c r="K451">
        <v>1.4395127110366821</v>
      </c>
      <c r="L451">
        <v>1.0729658663177499</v>
      </c>
      <c r="M451">
        <v>1.3439999999999999</v>
      </c>
      <c r="N451">
        <v>0.66621366594696041</v>
      </c>
      <c r="O451">
        <v>0.41745411448860159</v>
      </c>
      <c r="P451">
        <v>0.231550450958252</v>
      </c>
      <c r="Q451">
        <v>0.12344920277690878</v>
      </c>
    </row>
    <row r="452" spans="4:17" hidden="1" x14ac:dyDescent="0.35">
      <c r="D452" t="s">
        <v>163</v>
      </c>
      <c r="E452">
        <v>5</v>
      </c>
      <c r="F452">
        <v>121</v>
      </c>
      <c r="G452">
        <v>4.3939999694824223</v>
      </c>
      <c r="H452">
        <v>3.6080000000000001E-2</v>
      </c>
      <c r="I452">
        <v>4.1509999999999998</v>
      </c>
      <c r="J452">
        <v>4.46839591354132</v>
      </c>
      <c r="K452">
        <v>0.433285804485321</v>
      </c>
      <c r="L452">
        <v>0.97668063691456997</v>
      </c>
      <c r="M452">
        <v>1.1254999999999999</v>
      </c>
      <c r="N452">
        <v>0.45066657051467895</v>
      </c>
      <c r="O452">
        <v>0.35084045334434505</v>
      </c>
      <c r="P452">
        <v>9.8680089593410403E-2</v>
      </c>
      <c r="Q452">
        <v>0.17478577863407141</v>
      </c>
    </row>
    <row r="453" spans="4:17" hidden="1" x14ac:dyDescent="0.35">
      <c r="D453" t="s">
        <v>108</v>
      </c>
      <c r="E453">
        <v>5</v>
      </c>
      <c r="F453">
        <v>78.8</v>
      </c>
      <c r="G453">
        <v>5.3391999961853021</v>
      </c>
      <c r="H453">
        <v>4.8640000000000003E-2</v>
      </c>
      <c r="I453">
        <v>5.0830000000000002</v>
      </c>
      <c r="J453">
        <v>5.2984303057193802</v>
      </c>
      <c r="K453">
        <v>1.000643515853882</v>
      </c>
      <c r="L453">
        <v>1.0270399324671433</v>
      </c>
      <c r="M453">
        <v>1.3759999999999999</v>
      </c>
      <c r="N453">
        <v>0.71678893426132206</v>
      </c>
      <c r="O453">
        <v>0.22739310564994822</v>
      </c>
      <c r="P453">
        <v>3.8492756121873854E-2</v>
      </c>
      <c r="Q453">
        <v>0.1781611767635346</v>
      </c>
    </row>
    <row r="454" spans="4:17" hidden="1" x14ac:dyDescent="0.35">
      <c r="D454" t="s">
        <v>144</v>
      </c>
      <c r="E454">
        <v>5</v>
      </c>
      <c r="F454">
        <v>116.4</v>
      </c>
      <c r="G454">
        <v>4.5592000221252444</v>
      </c>
      <c r="H454">
        <v>7.0680000000000007E-2</v>
      </c>
      <c r="I454">
        <v>4.5049999999999999</v>
      </c>
      <c r="J454">
        <v>4.7649999999999997</v>
      </c>
      <c r="K454">
        <v>0.317502185743332</v>
      </c>
      <c r="L454">
        <v>0.85594868165969828</v>
      </c>
      <c r="M454">
        <v>0.82699999999999996</v>
      </c>
      <c r="N454">
        <v>4.9512950779497619E-2</v>
      </c>
      <c r="O454">
        <v>0.33958953819274895</v>
      </c>
      <c r="P454">
        <v>6.7783035208225262E-2</v>
      </c>
      <c r="Q454">
        <v>0.24737818028450018</v>
      </c>
    </row>
    <row r="455" spans="4:17" hidden="1" x14ac:dyDescent="0.35">
      <c r="D455" t="s">
        <v>40</v>
      </c>
      <c r="E455">
        <v>5</v>
      </c>
      <c r="F455">
        <v>28</v>
      </c>
      <c r="G455">
        <v>6.5428000053405757</v>
      </c>
      <c r="H455">
        <v>3.78E-2</v>
      </c>
      <c r="I455">
        <v>6.6367230691015697</v>
      </c>
      <c r="J455">
        <v>6.8040000000000003</v>
      </c>
      <c r="K455">
        <v>1.592137533981324</v>
      </c>
      <c r="L455">
        <v>1.0804647878265368</v>
      </c>
      <c r="M455">
        <v>1.4570000000000001</v>
      </c>
      <c r="N455">
        <v>1.0141864789848327</v>
      </c>
      <c r="O455">
        <v>0.55341211389923095</v>
      </c>
      <c r="P455">
        <v>0.46725555700683608</v>
      </c>
      <c r="Q455">
        <v>0.30321519629669175</v>
      </c>
    </row>
    <row r="456" spans="4:17" hidden="1" x14ac:dyDescent="0.35">
      <c r="D456" t="s">
        <v>64</v>
      </c>
      <c r="E456">
        <v>5</v>
      </c>
      <c r="F456">
        <v>41.4</v>
      </c>
      <c r="G456">
        <v>6.1084000099182116</v>
      </c>
      <c r="H456">
        <v>4.267E-2</v>
      </c>
      <c r="I456">
        <v>5.9960000000000004</v>
      </c>
      <c r="J456">
        <v>6.16</v>
      </c>
      <c r="K456">
        <v>1.246006711509704</v>
      </c>
      <c r="L456">
        <v>1.28590974741618</v>
      </c>
      <c r="M456">
        <v>1.5205</v>
      </c>
      <c r="N456">
        <v>0.77248458222198479</v>
      </c>
      <c r="O456">
        <v>0.30704749291801459</v>
      </c>
      <c r="P456">
        <v>2.3198170327901842E-2</v>
      </c>
      <c r="Q456">
        <v>0.13656889618396759</v>
      </c>
    </row>
    <row r="457" spans="4:17" hidden="1" x14ac:dyDescent="0.35">
      <c r="D457" t="s">
        <v>74</v>
      </c>
      <c r="E457">
        <v>5</v>
      </c>
      <c r="F457">
        <v>55</v>
      </c>
      <c r="G457">
        <v>5.8879999794006341</v>
      </c>
      <c r="H457">
        <v>4.2509999999999999E-2</v>
      </c>
      <c r="I457">
        <v>5.6829999999999998</v>
      </c>
      <c r="J457">
        <v>5.8529999999999998</v>
      </c>
      <c r="K457">
        <v>1.26053119091034</v>
      </c>
      <c r="L457">
        <v>1.26083294025421</v>
      </c>
      <c r="M457">
        <v>1.5145</v>
      </c>
      <c r="N457">
        <v>0.85294164559936525</v>
      </c>
      <c r="O457">
        <v>0.58195316151428222</v>
      </c>
      <c r="P457">
        <v>4.5469795757770534E-2</v>
      </c>
      <c r="Q457">
        <v>0.21146181865406039</v>
      </c>
    </row>
    <row r="458" spans="4:17" hidden="1" x14ac:dyDescent="0.35">
      <c r="D458" t="s">
        <v>209</v>
      </c>
      <c r="E458">
        <v>4</v>
      </c>
      <c r="F458">
        <v>94.75</v>
      </c>
      <c r="G458">
        <v>5.060250005722045</v>
      </c>
      <c r="I458">
        <v>5.2424837099015704</v>
      </c>
      <c r="J458">
        <v>5.5590000000000002</v>
      </c>
      <c r="K458">
        <v>5.6607960723340503E-3</v>
      </c>
      <c r="L458">
        <v>0.52864067596435549</v>
      </c>
      <c r="M458">
        <v>0.70499999999999996</v>
      </c>
      <c r="N458">
        <v>0.1529122842782735</v>
      </c>
      <c r="O458">
        <v>0.60072673899650575</v>
      </c>
      <c r="P458">
        <v>0.28655258090496077</v>
      </c>
      <c r="Q458">
        <v>0.26122032779455173</v>
      </c>
    </row>
    <row r="459" spans="4:17" hidden="1" x14ac:dyDescent="0.35">
      <c r="D459" t="s">
        <v>112</v>
      </c>
      <c r="E459">
        <v>2</v>
      </c>
      <c r="F459">
        <v>94</v>
      </c>
      <c r="G459">
        <v>5.0570000000000004</v>
      </c>
      <c r="H459">
        <v>6.1609999999999998E-2</v>
      </c>
      <c r="I459">
        <v>4.9340000000000002</v>
      </c>
      <c r="J459">
        <v>5.18</v>
      </c>
      <c r="K459">
        <v>0.22202499999999997</v>
      </c>
      <c r="L459">
        <v>0.85507</v>
      </c>
      <c r="N459">
        <v>0.384905</v>
      </c>
      <c r="O459">
        <v>0.42856</v>
      </c>
      <c r="P459">
        <v>0.38361000000000001</v>
      </c>
      <c r="Q459">
        <v>0.50898500000000002</v>
      </c>
    </row>
    <row r="460" spans="4:17" hidden="1" x14ac:dyDescent="0.35">
      <c r="D460" t="s">
        <v>134</v>
      </c>
      <c r="E460">
        <v>5</v>
      </c>
      <c r="F460">
        <v>108.2</v>
      </c>
      <c r="G460">
        <v>4.6751999992370603</v>
      </c>
      <c r="H460">
        <v>4.5850000000000002E-2</v>
      </c>
      <c r="I460">
        <v>4.3710000000000004</v>
      </c>
      <c r="J460">
        <v>4.7285648046433897</v>
      </c>
      <c r="K460">
        <v>0.97986974113464387</v>
      </c>
      <c r="L460">
        <v>1.1766662107976267</v>
      </c>
      <c r="M460">
        <v>1.3805000000000001</v>
      </c>
      <c r="N460">
        <v>0.28981401407527924</v>
      </c>
      <c r="O460">
        <v>0.42822934711456301</v>
      </c>
      <c r="P460">
        <v>7.129989948081969E-2</v>
      </c>
      <c r="Q460">
        <v>0.12573047598171241</v>
      </c>
    </row>
    <row r="461" spans="4:17" hidden="1" x14ac:dyDescent="0.35">
      <c r="D461" t="s">
        <v>66</v>
      </c>
      <c r="E461">
        <v>5</v>
      </c>
      <c r="F461">
        <v>54</v>
      </c>
      <c r="G461">
        <v>5.885399964141846</v>
      </c>
      <c r="H461">
        <v>4.0980000000000003E-2</v>
      </c>
      <c r="I461">
        <v>5.7469999999999999</v>
      </c>
      <c r="J461">
        <v>5.923</v>
      </c>
      <c r="K461">
        <v>1.3145536885910041</v>
      </c>
      <c r="L461">
        <v>0.93598481358846009</v>
      </c>
      <c r="M461">
        <v>1.2115</v>
      </c>
      <c r="N461">
        <v>0.94860881520843487</v>
      </c>
      <c r="O461">
        <v>0.24893633318138125</v>
      </c>
      <c r="P461">
        <v>6.5202533718109135E-2</v>
      </c>
      <c r="Q461">
        <v>0.18609687343788139</v>
      </c>
    </row>
    <row r="462" spans="4:17" x14ac:dyDescent="0.35">
      <c r="D462" t="s">
        <v>212</v>
      </c>
      <c r="E462">
        <v>4</v>
      </c>
      <c r="F462">
        <v>150</v>
      </c>
      <c r="G462">
        <v>3.3825000200271598</v>
      </c>
      <c r="I462">
        <v>3.5960000000000001</v>
      </c>
      <c r="J462">
        <v>4.0679999999999996</v>
      </c>
      <c r="K462">
        <v>0.35854715643882751</v>
      </c>
      <c r="L462">
        <v>0.393256563873291</v>
      </c>
      <c r="M462">
        <v>0.59149999999999991</v>
      </c>
      <c r="N462">
        <v>0.19832400096893299</v>
      </c>
      <c r="O462">
        <v>0.11642060893654824</v>
      </c>
      <c r="P462">
        <v>0.11098587832450874</v>
      </c>
      <c r="Q462">
        <v>0.24266520422458648</v>
      </c>
    </row>
    <row r="463" spans="4:17" hidden="1" x14ac:dyDescent="0.35">
      <c r="D463" t="s">
        <v>54</v>
      </c>
      <c r="E463">
        <v>5</v>
      </c>
      <c r="F463">
        <v>34.6</v>
      </c>
      <c r="G463">
        <v>6.3513999755859372</v>
      </c>
      <c r="H463">
        <v>3.4680000000000002E-2</v>
      </c>
      <c r="I463">
        <v>6.2880000000000003</v>
      </c>
      <c r="J463">
        <v>6.4340000000000002</v>
      </c>
      <c r="K463">
        <v>1.2988075728683479</v>
      </c>
      <c r="L463">
        <v>1.3251103007761635</v>
      </c>
      <c r="M463">
        <v>1.5110000000000001</v>
      </c>
      <c r="N463">
        <v>0.95010811997985845</v>
      </c>
      <c r="O463">
        <v>0.41094824608993541</v>
      </c>
      <c r="P463">
        <v>6.9852819426059726E-2</v>
      </c>
      <c r="Q463">
        <v>0.16881071432495121</v>
      </c>
    </row>
    <row r="464" spans="4:17" hidden="1" x14ac:dyDescent="0.35">
      <c r="D464" t="s">
        <v>153</v>
      </c>
      <c r="E464">
        <v>5</v>
      </c>
      <c r="F464">
        <v>123</v>
      </c>
      <c r="G464">
        <v>4.3926000114440917</v>
      </c>
      <c r="H464">
        <v>3.7510000000000002E-2</v>
      </c>
      <c r="I464">
        <v>4.3220000000000001</v>
      </c>
      <c r="J464">
        <v>4.508</v>
      </c>
      <c r="K464">
        <v>0.93705402887725797</v>
      </c>
      <c r="L464">
        <v>1.04228546234131</v>
      </c>
      <c r="M464">
        <v>1.2894999999999999</v>
      </c>
      <c r="N464">
        <v>0.6912521664390564</v>
      </c>
      <c r="O464">
        <v>0.5323286509857178</v>
      </c>
      <c r="P464">
        <v>6.8416793237686152E-2</v>
      </c>
      <c r="Q464">
        <v>0.3839847123260498</v>
      </c>
    </row>
    <row r="465" spans="4:17" hidden="1" x14ac:dyDescent="0.35">
      <c r="D465" t="s">
        <v>139</v>
      </c>
      <c r="E465">
        <v>4</v>
      </c>
      <c r="F465">
        <v>129.5</v>
      </c>
      <c r="G465">
        <v>4.2417499847412099</v>
      </c>
      <c r="H465">
        <v>6.7400000000000002E-2</v>
      </c>
      <c r="I465">
        <v>3.9279999999999999</v>
      </c>
      <c r="J465">
        <v>4.3499999999999996</v>
      </c>
      <c r="K465">
        <v>0.60406917304038998</v>
      </c>
      <c r="L465">
        <v>1.0157761899058033</v>
      </c>
      <c r="M465">
        <v>1.24</v>
      </c>
      <c r="N465">
        <v>0.31732270595312129</v>
      </c>
      <c r="O465">
        <v>3.2951463819816701E-2</v>
      </c>
      <c r="P465">
        <v>0.1047093799984455</v>
      </c>
      <c r="Q465">
        <v>0.1719268626606465</v>
      </c>
    </row>
    <row r="466" spans="4:17" hidden="1" x14ac:dyDescent="0.35">
      <c r="D466" t="s">
        <v>59</v>
      </c>
      <c r="E466">
        <v>2</v>
      </c>
      <c r="F466">
        <v>40</v>
      </c>
      <c r="G466">
        <v>6.2690000000000001</v>
      </c>
      <c r="H466">
        <v>9.8110000000000003E-2</v>
      </c>
      <c r="I466">
        <v>6.0730000000000004</v>
      </c>
      <c r="J466">
        <v>6.4649999999999999</v>
      </c>
      <c r="K466">
        <v>1.0461</v>
      </c>
      <c r="L466">
        <v>0.87532999999999994</v>
      </c>
      <c r="N466">
        <v>0.55876499999999996</v>
      </c>
      <c r="O466">
        <v>0.55945500000000004</v>
      </c>
      <c r="P466">
        <v>0.13162499999999999</v>
      </c>
      <c r="Q466">
        <v>0.16827999999999999</v>
      </c>
    </row>
    <row r="467" spans="4:17" hidden="1" x14ac:dyDescent="0.35">
      <c r="D467" t="s">
        <v>122</v>
      </c>
      <c r="E467">
        <v>2</v>
      </c>
      <c r="F467">
        <v>118</v>
      </c>
      <c r="G467">
        <v>4.5395000000000003</v>
      </c>
      <c r="H467">
        <v>8.7419999999999998E-2</v>
      </c>
      <c r="K467">
        <v>0.76153000000000004</v>
      </c>
      <c r="L467">
        <v>1.07284</v>
      </c>
      <c r="M467">
        <v>1.149</v>
      </c>
      <c r="N467">
        <v>3.7830000000000003E-2</v>
      </c>
      <c r="O467">
        <v>0.30979000000000001</v>
      </c>
      <c r="P467">
        <v>8.2799999999999999E-2</v>
      </c>
      <c r="Q467">
        <v>0.12829499999999999</v>
      </c>
    </row>
    <row r="468" spans="4:17" hidden="1" x14ac:dyDescent="0.35">
      <c r="D468" t="s">
        <v>21</v>
      </c>
      <c r="E468">
        <v>5</v>
      </c>
      <c r="F468">
        <v>8.6</v>
      </c>
      <c r="G468">
        <v>7.3191999839782724</v>
      </c>
      <c r="H468">
        <v>3.1570000000000001E-2</v>
      </c>
      <c r="I468">
        <v>7.2270000000000003</v>
      </c>
      <c r="J468">
        <v>7.3550000000000004</v>
      </c>
      <c r="K468">
        <v>1.4039814538040161</v>
      </c>
      <c r="L468">
        <v>1.2849573898188267</v>
      </c>
      <c r="M468">
        <v>1.494</v>
      </c>
      <c r="N468">
        <v>0.89899103166198735</v>
      </c>
      <c r="O468">
        <v>0.61758081979370127</v>
      </c>
      <c r="P468">
        <v>0.39750174572181701</v>
      </c>
      <c r="Q468">
        <v>0.336511850435257</v>
      </c>
    </row>
    <row r="469" spans="4:17" x14ac:dyDescent="0.35">
      <c r="D469" t="s">
        <v>12</v>
      </c>
      <c r="E469">
        <v>5</v>
      </c>
      <c r="F469">
        <v>3.6</v>
      </c>
      <c r="G469">
        <v>7.5113999916076661</v>
      </c>
      <c r="H469">
        <v>3.4110000000000001E-2</v>
      </c>
      <c r="I469">
        <v>7.4279999999999999</v>
      </c>
      <c r="J469">
        <v>7.59</v>
      </c>
      <c r="K469">
        <v>1.4721639106445319</v>
      </c>
      <c r="L469">
        <v>1.3372205816904701</v>
      </c>
      <c r="M469">
        <v>1.5375000000000001</v>
      </c>
      <c r="N469">
        <v>0.9283182578964233</v>
      </c>
      <c r="O469">
        <v>0.62064211533355729</v>
      </c>
      <c r="P469">
        <v>0.37976345707130438</v>
      </c>
      <c r="Q469">
        <v>0.27743185565185541</v>
      </c>
    </row>
    <row r="470" spans="4:17" x14ac:dyDescent="0.35">
      <c r="D470" t="s">
        <v>177</v>
      </c>
      <c r="E470">
        <v>5</v>
      </c>
      <c r="F470">
        <v>152.6</v>
      </c>
      <c r="G470">
        <v>3.2921999786376959</v>
      </c>
      <c r="H470">
        <v>5.015E-2</v>
      </c>
      <c r="I470">
        <v>2.9359999999999999</v>
      </c>
      <c r="J470">
        <v>3.2603312295675302</v>
      </c>
      <c r="K470">
        <v>0.6991086268692015</v>
      </c>
      <c r="L470">
        <v>0.33988420241673795</v>
      </c>
      <c r="M470">
        <v>0.38</v>
      </c>
      <c r="N470">
        <v>0.56628066847228997</v>
      </c>
      <c r="O470">
        <v>8.1699888925075542E-2</v>
      </c>
      <c r="P470">
        <v>0.1595474261074066</v>
      </c>
      <c r="Q470">
        <v>0.43128474564743036</v>
      </c>
    </row>
    <row r="471" spans="4:17" hidden="1" x14ac:dyDescent="0.35">
      <c r="D471" t="s">
        <v>56</v>
      </c>
      <c r="E471">
        <v>4</v>
      </c>
      <c r="F471">
        <v>30.75</v>
      </c>
      <c r="G471">
        <v>6.391</v>
      </c>
      <c r="H471">
        <v>3.8679999999999999E-2</v>
      </c>
      <c r="I471">
        <v>6.3049999999999997</v>
      </c>
      <c r="J471">
        <v>6.4530000000000003</v>
      </c>
      <c r="K471">
        <v>1.3553175000000002</v>
      </c>
      <c r="L471">
        <v>1.0012050000000001</v>
      </c>
      <c r="M471">
        <v>1.4329999999999998</v>
      </c>
      <c r="N471">
        <v>0.86048749999999996</v>
      </c>
      <c r="O471">
        <v>0.3725425</v>
      </c>
      <c r="P471">
        <v>8.0647500000000011E-2</v>
      </c>
      <c r="Q471">
        <v>0.2254275</v>
      </c>
    </row>
    <row r="472" spans="4:17" hidden="1" x14ac:dyDescent="0.35">
      <c r="D472" t="s">
        <v>221</v>
      </c>
      <c r="E472">
        <v>1</v>
      </c>
      <c r="F472">
        <v>33</v>
      </c>
      <c r="G472">
        <v>6.4219999313354501</v>
      </c>
      <c r="I472">
        <v>6.4945960219204402</v>
      </c>
      <c r="J472">
        <v>6.34940384075046</v>
      </c>
      <c r="K472">
        <v>1.43362653255463</v>
      </c>
      <c r="L472">
        <v>1.38456535339355</v>
      </c>
      <c r="N472">
        <v>0.793984234333038</v>
      </c>
      <c r="O472">
        <v>0.36146658658981301</v>
      </c>
      <c r="P472">
        <v>6.3829235732555403E-2</v>
      </c>
      <c r="Q472">
        <v>0.258360475301743</v>
      </c>
    </row>
    <row r="473" spans="4:17" hidden="1" x14ac:dyDescent="0.35">
      <c r="D473" t="s">
        <v>127</v>
      </c>
      <c r="E473">
        <v>5</v>
      </c>
      <c r="F473">
        <v>92.8</v>
      </c>
      <c r="G473">
        <v>5.0977999778747556</v>
      </c>
      <c r="H473">
        <v>3.1980000000000001E-2</v>
      </c>
      <c r="I473">
        <v>4.923</v>
      </c>
      <c r="J473">
        <v>5.069</v>
      </c>
      <c r="K473">
        <v>0.4741067270889282</v>
      </c>
      <c r="L473">
        <v>0.96103775831858329</v>
      </c>
      <c r="M473">
        <v>1.1320000000000001</v>
      </c>
      <c r="N473">
        <v>0.59004302491760252</v>
      </c>
      <c r="O473">
        <v>0.41176134137916565</v>
      </c>
      <c r="P473">
        <v>0.12203742924880981</v>
      </c>
      <c r="Q473">
        <v>0.2311435287179946</v>
      </c>
    </row>
    <row r="474" spans="4:17" hidden="1" x14ac:dyDescent="0.35">
      <c r="D474" t="s">
        <v>167</v>
      </c>
      <c r="E474">
        <v>5</v>
      </c>
      <c r="F474">
        <v>150.80000000000001</v>
      </c>
      <c r="G474">
        <v>3.4659999954223637</v>
      </c>
      <c r="H474">
        <v>5.0610000000000002E-2</v>
      </c>
      <c r="I474">
        <v>3.4614297553896902</v>
      </c>
      <c r="J474">
        <v>3.7709999999999999</v>
      </c>
      <c r="K474">
        <v>0.43977717523574816</v>
      </c>
      <c r="L474">
        <v>0.94029993443807003</v>
      </c>
      <c r="M474">
        <v>0.93799999999999994</v>
      </c>
      <c r="N474">
        <v>0.39673185689926138</v>
      </c>
      <c r="O474">
        <v>0.38687955553627018</v>
      </c>
      <c r="P474">
        <v>8.3699021355628969E-2</v>
      </c>
      <c r="Q474">
        <v>0.31174927234458921</v>
      </c>
    </row>
    <row r="475" spans="4:17" hidden="1" x14ac:dyDescent="0.35">
      <c r="D475" t="s">
        <v>52</v>
      </c>
      <c r="E475">
        <v>5</v>
      </c>
      <c r="F475">
        <v>39.4</v>
      </c>
      <c r="G475">
        <v>6.2865999572753894</v>
      </c>
      <c r="H475">
        <v>3.5569999999999997E-2</v>
      </c>
      <c r="I475">
        <v>6.3959999999999999</v>
      </c>
      <c r="J475">
        <v>6.5519999999999996</v>
      </c>
      <c r="K475">
        <v>1.0500137543106081</v>
      </c>
      <c r="L475">
        <v>1.2452008185577399</v>
      </c>
      <c r="M475">
        <v>1.413</v>
      </c>
      <c r="N475">
        <v>0.71397780588150017</v>
      </c>
      <c r="O475">
        <v>0.5652741463508606</v>
      </c>
      <c r="P475">
        <v>2.9762547048330302E-2</v>
      </c>
      <c r="Q475">
        <v>0.49167662205886842</v>
      </c>
    </row>
    <row r="476" spans="4:17" hidden="1" x14ac:dyDescent="0.35">
      <c r="D476" t="s">
        <v>179</v>
      </c>
      <c r="E476">
        <v>5</v>
      </c>
      <c r="F476">
        <v>148.19999999999999</v>
      </c>
      <c r="G476">
        <v>3.5441999771118162</v>
      </c>
      <c r="H476">
        <v>6.7269999999999996E-2</v>
      </c>
      <c r="I476">
        <v>3.1920000000000002</v>
      </c>
      <c r="J476">
        <v>3.4140000000000001</v>
      </c>
      <c r="K476">
        <v>0.26587094348144535</v>
      </c>
      <c r="L476">
        <v>0.19061084348360699</v>
      </c>
      <c r="M476">
        <v>0.52299999999999991</v>
      </c>
      <c r="N476">
        <v>0.28852911372947698</v>
      </c>
      <c r="O476">
        <v>0.36374722772788998</v>
      </c>
      <c r="P476">
        <v>0.10096900305604932</v>
      </c>
      <c r="Q476">
        <v>0.17477523014163979</v>
      </c>
    </row>
    <row r="477" spans="4:17" hidden="1" x14ac:dyDescent="0.35">
      <c r="D477" t="s">
        <v>232</v>
      </c>
      <c r="E477">
        <v>2</v>
      </c>
      <c r="F477">
        <v>38.5</v>
      </c>
      <c r="G477">
        <v>6.1920000000000002</v>
      </c>
      <c r="K477">
        <v>1.2270000000000001</v>
      </c>
      <c r="M477">
        <v>1.4845000000000002</v>
      </c>
      <c r="N477">
        <v>0.63849999999999996</v>
      </c>
      <c r="O477">
        <v>0.53200000000000003</v>
      </c>
      <c r="P477">
        <v>1.7500000000000002E-2</v>
      </c>
      <c r="Q477">
        <v>0.17799999999999999</v>
      </c>
    </row>
    <row r="478" spans="4:17" hidden="1" x14ac:dyDescent="0.35">
      <c r="D478" t="s">
        <v>60</v>
      </c>
      <c r="E478">
        <v>3</v>
      </c>
      <c r="F478">
        <v>40.666666666666664</v>
      </c>
      <c r="G478">
        <v>6.1680000737508136</v>
      </c>
      <c r="H478">
        <v>0.10895000000000001</v>
      </c>
      <c r="I478">
        <v>5.95</v>
      </c>
      <c r="J478">
        <v>6.3860000000000001</v>
      </c>
      <c r="K478">
        <v>1.2996353002548233</v>
      </c>
      <c r="L478">
        <v>1.1831528398132332</v>
      </c>
      <c r="N478">
        <v>0.553631097208659</v>
      </c>
      <c r="O478">
        <v>0.52066691434224432</v>
      </c>
      <c r="P478">
        <v>1.0924938702781996E-2</v>
      </c>
      <c r="Q478">
        <v>0.32102882052739473</v>
      </c>
    </row>
    <row r="479" spans="4:17" hidden="1" x14ac:dyDescent="0.35">
      <c r="D479" t="s">
        <v>128</v>
      </c>
      <c r="E479">
        <v>5</v>
      </c>
      <c r="F479">
        <v>108.4</v>
      </c>
      <c r="G479">
        <v>4.728399965667724</v>
      </c>
      <c r="H479">
        <v>3.5889999999999998E-2</v>
      </c>
      <c r="I479">
        <v>4.8843670070171399</v>
      </c>
      <c r="J479">
        <v>5.125</v>
      </c>
      <c r="K479">
        <v>0.9373271612396239</v>
      </c>
      <c r="L479">
        <v>0.63476381983439134</v>
      </c>
      <c r="M479">
        <v>0.95300000000000007</v>
      </c>
      <c r="N479">
        <v>0.69038240980148313</v>
      </c>
      <c r="O479">
        <v>0.24517813791465765</v>
      </c>
      <c r="P479">
        <v>7.0000629764556871E-2</v>
      </c>
      <c r="Q479">
        <v>5.0472671439886097E-2</v>
      </c>
    </row>
    <row r="480" spans="4:17" hidden="1" x14ac:dyDescent="0.35">
      <c r="D480" t="s">
        <v>96</v>
      </c>
      <c r="E480">
        <v>5</v>
      </c>
      <c r="F480">
        <v>75.2</v>
      </c>
      <c r="G480">
        <v>5.4154</v>
      </c>
      <c r="H480">
        <v>3.8640000000000001E-2</v>
      </c>
      <c r="I480">
        <v>5.2949999999999999</v>
      </c>
      <c r="J480">
        <v>5.4829999999999997</v>
      </c>
      <c r="K480">
        <v>1.1510348748016361</v>
      </c>
      <c r="L480">
        <v>1.0537477255630501</v>
      </c>
      <c r="M480">
        <v>1.37</v>
      </c>
      <c r="N480">
        <v>0.7021011215019225</v>
      </c>
      <c r="O480">
        <v>0.25735611992645263</v>
      </c>
      <c r="P480">
        <v>0.11912231597948073</v>
      </c>
      <c r="Q480">
        <v>8.1058608384132383E-2</v>
      </c>
    </row>
    <row r="481" spans="4:17" hidden="1" x14ac:dyDescent="0.35">
      <c r="D481" t="s">
        <v>89</v>
      </c>
      <c r="E481">
        <v>5</v>
      </c>
      <c r="F481">
        <v>69.8</v>
      </c>
      <c r="G481">
        <v>5.5822000053405763</v>
      </c>
      <c r="H481">
        <v>4.1750000000000002E-2</v>
      </c>
      <c r="I481">
        <v>5.58</v>
      </c>
      <c r="J481">
        <v>5.7588191778957798</v>
      </c>
      <c r="K481">
        <v>1.0474833525924681</v>
      </c>
      <c r="L481">
        <v>1.2526663871129367</v>
      </c>
      <c r="M481">
        <v>1.5354999999999999</v>
      </c>
      <c r="N481">
        <v>0.51812921608352658</v>
      </c>
      <c r="O481">
        <v>0.41589038580512999</v>
      </c>
      <c r="P481">
        <v>0.18347606804084782</v>
      </c>
      <c r="Q481">
        <v>0.21767699751091002</v>
      </c>
    </row>
    <row r="482" spans="4:17" hidden="1" x14ac:dyDescent="0.35">
      <c r="D482" t="s">
        <v>162</v>
      </c>
      <c r="E482">
        <v>5</v>
      </c>
      <c r="F482">
        <v>138</v>
      </c>
      <c r="G482">
        <v>4.0201999702453621</v>
      </c>
      <c r="H482">
        <v>4.317E-2</v>
      </c>
      <c r="I482">
        <v>3.629</v>
      </c>
      <c r="J482">
        <v>3.9661997354030598</v>
      </c>
      <c r="K482">
        <v>0.31872814306449904</v>
      </c>
      <c r="L482">
        <v>1.05754257926941</v>
      </c>
      <c r="M482">
        <v>1.0794999999999999</v>
      </c>
      <c r="N482">
        <v>0.28649852132511139</v>
      </c>
      <c r="O482">
        <v>0.42859719105720517</v>
      </c>
      <c r="P482">
        <v>6.3031943767547602E-2</v>
      </c>
      <c r="Q482">
        <v>0.27968921135520941</v>
      </c>
    </row>
    <row r="483" spans="4:17" hidden="1" x14ac:dyDescent="0.35">
      <c r="D483" t="s">
        <v>132</v>
      </c>
      <c r="E483">
        <v>5</v>
      </c>
      <c r="F483">
        <v>127.4</v>
      </c>
      <c r="G483">
        <v>4.3072000389099117</v>
      </c>
      <c r="H483">
        <v>4.4119999999999999E-2</v>
      </c>
      <c r="I483">
        <v>4.1854101045429699</v>
      </c>
      <c r="J483">
        <v>4.4119999999999999</v>
      </c>
      <c r="K483">
        <v>0.83591838988113398</v>
      </c>
      <c r="L483">
        <v>1.2038158560307834</v>
      </c>
      <c r="M483">
        <v>1.4015</v>
      </c>
      <c r="N483">
        <v>0.63681679042434702</v>
      </c>
      <c r="O483">
        <v>0.16875895514631281</v>
      </c>
      <c r="P483">
        <v>1.838589416325092E-2</v>
      </c>
      <c r="Q483">
        <v>0.20008829262351982</v>
      </c>
    </row>
    <row r="484" spans="4:17" hidden="1" x14ac:dyDescent="0.35">
      <c r="D484" t="s">
        <v>36</v>
      </c>
      <c r="E484">
        <v>5</v>
      </c>
      <c r="F484">
        <v>22</v>
      </c>
      <c r="G484">
        <v>6.7441999526977536</v>
      </c>
      <c r="H484">
        <v>3.7289999999999997E-2</v>
      </c>
      <c r="I484">
        <v>6.4939999999999998</v>
      </c>
      <c r="J484">
        <v>6.6520000000000001</v>
      </c>
      <c r="K484">
        <v>1.64522667389679</v>
      </c>
      <c r="L484">
        <v>1.0877667438634233</v>
      </c>
      <c r="M484">
        <v>1.0430000000000001</v>
      </c>
      <c r="N484">
        <v>0.75219564727401733</v>
      </c>
      <c r="O484">
        <v>0.53881305403137192</v>
      </c>
      <c r="P484">
        <v>0.3119823909258842</v>
      </c>
      <c r="Q484">
        <v>0.26782638930129998</v>
      </c>
    </row>
    <row r="485" spans="4:17" hidden="1" x14ac:dyDescent="0.35">
      <c r="D485" t="s">
        <v>37</v>
      </c>
      <c r="E485">
        <v>5</v>
      </c>
      <c r="F485">
        <v>17.8</v>
      </c>
      <c r="G485">
        <v>6.9100000450134278</v>
      </c>
      <c r="H485">
        <v>1.866E-2</v>
      </c>
      <c r="I485">
        <v>6.6470000000000002</v>
      </c>
      <c r="J485">
        <v>6.8029999999999999</v>
      </c>
      <c r="K485">
        <v>1.3375667879486079</v>
      </c>
      <c r="L485">
        <v>1.28955336004893</v>
      </c>
      <c r="M485">
        <v>1.4855</v>
      </c>
      <c r="N485">
        <v>0.88173518778610216</v>
      </c>
      <c r="O485">
        <v>0.50376000716400138</v>
      </c>
      <c r="P485">
        <v>0.2440176132507324</v>
      </c>
      <c r="Q485">
        <v>0.4246908317432404</v>
      </c>
    </row>
    <row r="486" spans="4:17" hidden="1" x14ac:dyDescent="0.35">
      <c r="D486" t="s">
        <v>31</v>
      </c>
      <c r="E486">
        <v>5</v>
      </c>
      <c r="F486">
        <v>15.8</v>
      </c>
      <c r="G486">
        <v>6.9988000061035152</v>
      </c>
      <c r="H486">
        <v>3.8390000000000001E-2</v>
      </c>
      <c r="I486">
        <v>7.02</v>
      </c>
      <c r="J486">
        <v>7.1879999999999997</v>
      </c>
      <c r="K486">
        <v>1.4559458568038939</v>
      </c>
      <c r="L486">
        <v>1.2382835212326033</v>
      </c>
      <c r="M486">
        <v>1.464</v>
      </c>
      <c r="N486">
        <v>0.82161532555389394</v>
      </c>
      <c r="O486">
        <v>0.5068821046676637</v>
      </c>
      <c r="P486">
        <v>0.14084375766849522</v>
      </c>
      <c r="Q486">
        <v>0.35507975613021858</v>
      </c>
    </row>
    <row r="487" spans="4:17" hidden="1" x14ac:dyDescent="0.35">
      <c r="D487" t="s">
        <v>50</v>
      </c>
      <c r="E487">
        <v>5</v>
      </c>
      <c r="F487">
        <v>30.6</v>
      </c>
      <c r="G487">
        <v>6.4311999992370605</v>
      </c>
      <c r="H487">
        <v>4.539E-2</v>
      </c>
      <c r="I487">
        <v>6.4560000000000004</v>
      </c>
      <c r="J487">
        <v>6.6340000000000003</v>
      </c>
      <c r="K487">
        <v>1.135557939048768</v>
      </c>
      <c r="L487">
        <v>1.2175192896779368</v>
      </c>
      <c r="M487">
        <v>1.4620000000000002</v>
      </c>
      <c r="N487">
        <v>0.78292936471557617</v>
      </c>
      <c r="O487">
        <v>0.57497845087051402</v>
      </c>
      <c r="P487">
        <v>0.18851637454414361</v>
      </c>
      <c r="Q487">
        <v>0.16901138581466679</v>
      </c>
    </row>
    <row r="488" spans="4:17" hidden="1" x14ac:dyDescent="0.35">
      <c r="D488" t="s">
        <v>63</v>
      </c>
      <c r="E488">
        <v>5</v>
      </c>
      <c r="F488">
        <v>45</v>
      </c>
      <c r="G488">
        <v>6.0462000389099115</v>
      </c>
      <c r="H488">
        <v>4.3610000000000003E-2</v>
      </c>
      <c r="I488">
        <v>5.8959999999999999</v>
      </c>
      <c r="J488">
        <v>6.0780000000000003</v>
      </c>
      <c r="K488">
        <v>0.7237582175445556</v>
      </c>
      <c r="L488">
        <v>1.3524997165298467</v>
      </c>
      <c r="M488">
        <v>1.5565</v>
      </c>
      <c r="N488">
        <v>0.59172452551841737</v>
      </c>
      <c r="O488">
        <v>0.65598773258972165</v>
      </c>
      <c r="P488">
        <v>0.26742364463138579</v>
      </c>
      <c r="Q488">
        <v>0.32752272942161559</v>
      </c>
    </row>
    <row r="489" spans="4:17" hidden="1" x14ac:dyDescent="0.35">
      <c r="D489" t="s">
        <v>39</v>
      </c>
      <c r="E489">
        <v>5</v>
      </c>
      <c r="F489">
        <v>71.8</v>
      </c>
      <c r="G489">
        <v>5.5313999999999997</v>
      </c>
      <c r="H489">
        <v>6.4759999999999998E-2</v>
      </c>
      <c r="I489">
        <v>5.3700319455564003</v>
      </c>
      <c r="J489">
        <v>6.1950000000000003</v>
      </c>
      <c r="K489">
        <v>1.052468240196228</v>
      </c>
      <c r="L489">
        <v>1.2401058649953198</v>
      </c>
      <c r="M489">
        <v>1.448</v>
      </c>
      <c r="N489">
        <v>0.68374084540557867</v>
      </c>
      <c r="O489">
        <v>0.21370942464828499</v>
      </c>
      <c r="P489">
        <v>7.1444224592208866E-2</v>
      </c>
      <c r="Q489">
        <v>5.7185925979137422E-2</v>
      </c>
    </row>
    <row r="490" spans="4:17" hidden="1" x14ac:dyDescent="0.35">
      <c r="D490" t="s">
        <v>95</v>
      </c>
      <c r="E490">
        <v>5</v>
      </c>
      <c r="F490">
        <v>90.8</v>
      </c>
      <c r="G490">
        <v>5.1545999763488757</v>
      </c>
      <c r="H490">
        <v>3.107E-2</v>
      </c>
      <c r="I490">
        <v>4.9909999999999997</v>
      </c>
      <c r="J490">
        <v>5.1310000000000002</v>
      </c>
      <c r="K490">
        <v>0.72341551509475699</v>
      </c>
      <c r="L490">
        <v>0.99364044370015348</v>
      </c>
      <c r="M490">
        <v>1.3555000000000001</v>
      </c>
      <c r="N490">
        <v>0.72269979783630378</v>
      </c>
      <c r="O490">
        <v>0.57720711822128301</v>
      </c>
      <c r="P490">
        <v>9.1920647448539741E-2</v>
      </c>
      <c r="Q490">
        <v>0.19566361026287082</v>
      </c>
    </row>
    <row r="491" spans="4:17" hidden="1" x14ac:dyDescent="0.35">
      <c r="D491" t="s">
        <v>157</v>
      </c>
      <c r="E491">
        <v>5</v>
      </c>
      <c r="F491">
        <v>146.4</v>
      </c>
      <c r="G491">
        <v>3.6257999870300304</v>
      </c>
      <c r="H491">
        <v>4.367E-2</v>
      </c>
      <c r="I491">
        <v>3.621</v>
      </c>
      <c r="J491">
        <v>3.827</v>
      </c>
      <c r="K491">
        <v>0.48931268947219841</v>
      </c>
      <c r="L491">
        <v>0.69708074899037664</v>
      </c>
      <c r="M491">
        <v>1.1179999999999999</v>
      </c>
      <c r="N491">
        <v>0.36544018313789361</v>
      </c>
      <c r="O491">
        <v>0.24417474442195899</v>
      </c>
      <c r="P491">
        <v>6.7045484541177744E-2</v>
      </c>
      <c r="Q491">
        <v>9.6929041830539811E-2</v>
      </c>
    </row>
    <row r="492" spans="4:17" hidden="1" x14ac:dyDescent="0.35">
      <c r="D492" t="s">
        <v>106</v>
      </c>
      <c r="E492">
        <v>5</v>
      </c>
      <c r="F492">
        <v>114</v>
      </c>
      <c r="G492">
        <v>4.5843999877929678</v>
      </c>
      <c r="H492">
        <v>6.9879999999999998E-2</v>
      </c>
      <c r="I492">
        <v>4.64410550147295</v>
      </c>
      <c r="J492">
        <v>4.9450000000000003</v>
      </c>
      <c r="K492">
        <v>0.57176135585784915</v>
      </c>
      <c r="L492">
        <v>0.85230243292490659</v>
      </c>
      <c r="M492">
        <v>1.0525</v>
      </c>
      <c r="N492">
        <v>0.3027611789646148</v>
      </c>
      <c r="O492">
        <v>0.46209869849967966</v>
      </c>
      <c r="P492">
        <v>9.7336710030078891E-2</v>
      </c>
      <c r="Q492">
        <v>0.2184300289764404</v>
      </c>
    </row>
    <row r="493" spans="4:17" hidden="1" x14ac:dyDescent="0.35">
      <c r="D493" t="s">
        <v>136</v>
      </c>
      <c r="E493">
        <v>5</v>
      </c>
      <c r="F493">
        <v>134.80000000000001</v>
      </c>
      <c r="G493">
        <v>4.0066000000000006</v>
      </c>
      <c r="H493">
        <v>4.2900000000000001E-2</v>
      </c>
      <c r="I493">
        <v>3.97869964271784</v>
      </c>
      <c r="J493">
        <v>4.2850000000000001</v>
      </c>
      <c r="K493">
        <v>0.34405130699348441</v>
      </c>
      <c r="L493">
        <v>0.94354530272165993</v>
      </c>
      <c r="M493">
        <v>1.1040000000000001</v>
      </c>
      <c r="N493">
        <v>0.2744027507781982</v>
      </c>
      <c r="O493">
        <v>0.3232568414020538</v>
      </c>
      <c r="P493">
        <v>8.9997076282024385E-2</v>
      </c>
      <c r="Q493">
        <v>0.16940869875431061</v>
      </c>
    </row>
    <row r="495" spans="4:17" x14ac:dyDescent="0.35">
      <c r="E495" s="2" t="s">
        <v>311</v>
      </c>
    </row>
    <row r="497" spans="5:7" x14ac:dyDescent="0.35">
      <c r="E497" s="2" t="s">
        <v>0</v>
      </c>
      <c r="F497" s="2" t="s">
        <v>310</v>
      </c>
      <c r="G497" s="2" t="s">
        <v>319</v>
      </c>
    </row>
    <row r="498" spans="5:7" x14ac:dyDescent="0.35">
      <c r="E498" t="s">
        <v>177</v>
      </c>
      <c r="F498">
        <v>5</v>
      </c>
      <c r="G498">
        <v>7.5459999671936044</v>
      </c>
    </row>
    <row r="499" spans="5:7" x14ac:dyDescent="0.35">
      <c r="E499" t="s">
        <v>14</v>
      </c>
      <c r="F499">
        <v>5</v>
      </c>
      <c r="G499">
        <v>7.5410000358581541</v>
      </c>
    </row>
    <row r="500" spans="5:7" x14ac:dyDescent="0.35">
      <c r="E500" t="s">
        <v>212</v>
      </c>
      <c r="F500">
        <v>5</v>
      </c>
      <c r="G500">
        <v>7.5377999725341791</v>
      </c>
    </row>
    <row r="501" spans="5:7" x14ac:dyDescent="0.35">
      <c r="E501" t="s">
        <v>16</v>
      </c>
      <c r="F501">
        <v>5</v>
      </c>
      <c r="G501">
        <v>7.5113999916076661</v>
      </c>
    </row>
    <row r="502" spans="5:7" x14ac:dyDescent="0.35">
      <c r="E502" t="s">
        <v>175</v>
      </c>
      <c r="F502">
        <v>5</v>
      </c>
      <c r="G502">
        <v>7.5110000373840338</v>
      </c>
    </row>
    <row r="503" spans="5:7" x14ac:dyDescent="0.35">
      <c r="E503" t="s">
        <v>12</v>
      </c>
      <c r="F503">
        <v>5</v>
      </c>
      <c r="G503">
        <v>3.4385999912261958</v>
      </c>
    </row>
    <row r="504" spans="5:7" x14ac:dyDescent="0.35">
      <c r="E504" t="s">
        <v>19</v>
      </c>
      <c r="F504">
        <v>4</v>
      </c>
      <c r="G504">
        <v>3.3825000200271598</v>
      </c>
    </row>
    <row r="505" spans="5:7" x14ac:dyDescent="0.35">
      <c r="E505" t="s">
        <v>15</v>
      </c>
      <c r="F505">
        <v>5</v>
      </c>
      <c r="G505">
        <v>3.2921999786376959</v>
      </c>
    </row>
    <row r="506" spans="5:7" x14ac:dyDescent="0.35">
      <c r="E506" t="s">
        <v>169</v>
      </c>
      <c r="F506">
        <v>4</v>
      </c>
      <c r="G506">
        <v>3.1342500195503225</v>
      </c>
    </row>
    <row r="507" spans="5:7" x14ac:dyDescent="0.35">
      <c r="E507" t="s">
        <v>178</v>
      </c>
      <c r="F507">
        <v>5</v>
      </c>
      <c r="G507">
        <v>3.0789999942779538</v>
      </c>
    </row>
    <row r="520" spans="1:15" ht="26" x14ac:dyDescent="0.6">
      <c r="A520" s="7" t="s">
        <v>242</v>
      </c>
      <c r="B520" s="7" t="s">
        <v>242</v>
      </c>
      <c r="C520" s="8" t="s">
        <v>312</v>
      </c>
    </row>
    <row r="522" spans="1:15" x14ac:dyDescent="0.35">
      <c r="D522" s="10" t="s">
        <v>1</v>
      </c>
      <c r="E522" t="s">
        <v>302</v>
      </c>
      <c r="F522" t="s">
        <v>303</v>
      </c>
      <c r="G522" t="s">
        <v>255</v>
      </c>
      <c r="H522" t="s">
        <v>259</v>
      </c>
      <c r="I522" t="s">
        <v>304</v>
      </c>
      <c r="J522" t="s">
        <v>305</v>
      </c>
      <c r="K522" t="s">
        <v>314</v>
      </c>
      <c r="L522" t="s">
        <v>307</v>
      </c>
      <c r="M522" t="s">
        <v>315</v>
      </c>
      <c r="N522" t="s">
        <v>275</v>
      </c>
      <c r="O522" t="s">
        <v>309</v>
      </c>
    </row>
    <row r="523" spans="1:15" x14ac:dyDescent="0.35">
      <c r="D523" s="11" t="s">
        <v>23</v>
      </c>
      <c r="E523">
        <v>7.3042499999999997</v>
      </c>
      <c r="F523">
        <v>3.7269999999999998E-2</v>
      </c>
      <c r="G523">
        <v>7.2409999999999997</v>
      </c>
      <c r="H523">
        <v>7.4039999999999999</v>
      </c>
      <c r="I523">
        <v>1.3472124999999999</v>
      </c>
      <c r="J523">
        <v>1.22661</v>
      </c>
      <c r="L523">
        <v>0.88052249999999999</v>
      </c>
      <c r="M523">
        <v>0.61011499999999996</v>
      </c>
      <c r="N523">
        <v>0.38198500000000002</v>
      </c>
      <c r="O523">
        <v>0.46967750000000003</v>
      </c>
    </row>
    <row r="524" spans="1:15" x14ac:dyDescent="0.35">
      <c r="D524" s="11" t="s">
        <v>49</v>
      </c>
      <c r="E524">
        <v>5.3518103448275847</v>
      </c>
      <c r="F524">
        <v>4.5207586206896556E-2</v>
      </c>
      <c r="G524">
        <v>4.1040000000000001</v>
      </c>
      <c r="H524">
        <v>6.6769999999999996</v>
      </c>
      <c r="I524">
        <v>0.99498758620689653</v>
      </c>
      <c r="J524">
        <v>0.95744879310344866</v>
      </c>
      <c r="L524">
        <v>0.67518293103448268</v>
      </c>
      <c r="M524">
        <v>0.32939844827586207</v>
      </c>
      <c r="N524">
        <v>8.7372758620689647E-2</v>
      </c>
      <c r="O524">
        <v>0.16158068965517242</v>
      </c>
    </row>
    <row r="525" spans="1:15" x14ac:dyDescent="0.35">
      <c r="D525" s="11" t="s">
        <v>57</v>
      </c>
      <c r="E525">
        <v>5.625166666666666</v>
      </c>
      <c r="F525">
        <v>3.7225000000000001E-2</v>
      </c>
      <c r="G525">
        <v>4.8380000000000001</v>
      </c>
      <c r="H525">
        <v>6.4530000000000003</v>
      </c>
      <c r="I525">
        <v>1.2145458333333334</v>
      </c>
      <c r="J525">
        <v>1.0049275</v>
      </c>
      <c r="L525">
        <v>0.84203416666666664</v>
      </c>
      <c r="M525">
        <v>0.42488583333333341</v>
      </c>
      <c r="N525">
        <v>0.12302083333333336</v>
      </c>
      <c r="O525">
        <v>0.22472416666666664</v>
      </c>
    </row>
    <row r="526" spans="1:15" x14ac:dyDescent="0.35">
      <c r="D526" s="11" t="s">
        <v>28</v>
      </c>
      <c r="E526">
        <v>6.1222826086956523</v>
      </c>
      <c r="F526">
        <v>6.1126818181818178E-2</v>
      </c>
      <c r="G526">
        <v>3.8929999999999998</v>
      </c>
      <c r="H526">
        <v>7.2839999999999998</v>
      </c>
      <c r="I526">
        <v>0.93764739130434782</v>
      </c>
      <c r="J526">
        <v>0.99709173913043492</v>
      </c>
      <c r="L526">
        <v>0.65630456521739111</v>
      </c>
      <c r="M526">
        <v>0.46256043478260861</v>
      </c>
      <c r="N526">
        <v>0.11135152173913043</v>
      </c>
      <c r="O526">
        <v>0.21290456521739126</v>
      </c>
    </row>
    <row r="527" spans="1:15" x14ac:dyDescent="0.35">
      <c r="D527" s="11" t="s">
        <v>26</v>
      </c>
      <c r="E527">
        <v>5.3967435897435871</v>
      </c>
      <c r="F527">
        <v>4.6337000000000003E-2</v>
      </c>
      <c r="G527">
        <v>2.9359999999999999</v>
      </c>
      <c r="H527">
        <v>7.335</v>
      </c>
      <c r="I527">
        <v>1.1022207692307691</v>
      </c>
      <c r="J527">
        <v>0.81094974358974348</v>
      </c>
      <c r="L527">
        <v>0.66217000000000015</v>
      </c>
      <c r="M527">
        <v>0.33642641025641035</v>
      </c>
      <c r="N527">
        <v>0.17187282051282049</v>
      </c>
      <c r="O527">
        <v>0.18860871794871792</v>
      </c>
    </row>
    <row r="528" spans="1:15" x14ac:dyDescent="0.35">
      <c r="D528" s="11" t="s">
        <v>18</v>
      </c>
      <c r="E528">
        <v>7.2634999999999996</v>
      </c>
      <c r="F528">
        <v>3.696E-2</v>
      </c>
      <c r="G528">
        <v>7.02</v>
      </c>
      <c r="H528">
        <v>7.4729999999999999</v>
      </c>
      <c r="I528">
        <v>1.4172274999999999</v>
      </c>
      <c r="J528">
        <v>1.17841</v>
      </c>
      <c r="L528">
        <v>0.84350499999999995</v>
      </c>
      <c r="M528">
        <v>0.558585</v>
      </c>
      <c r="N528">
        <v>0.23761000000000002</v>
      </c>
      <c r="O528">
        <v>0.42956750000000005</v>
      </c>
    </row>
    <row r="529" spans="4:15" x14ac:dyDescent="0.35">
      <c r="D529" s="11" t="s">
        <v>41</v>
      </c>
      <c r="E529">
        <v>5.3281666666666672</v>
      </c>
      <c r="F529">
        <v>4.269111111111111E-2</v>
      </c>
      <c r="G529">
        <v>3.798</v>
      </c>
      <c r="H529">
        <v>6.8040000000000003</v>
      </c>
      <c r="I529">
        <v>0.84271777777777768</v>
      </c>
      <c r="J529">
        <v>0.8661116666666665</v>
      </c>
      <c r="L529">
        <v>0.6193627777777776</v>
      </c>
      <c r="M529">
        <v>0.52361388888888905</v>
      </c>
      <c r="N529">
        <v>0.14968999999999999</v>
      </c>
      <c r="O529">
        <v>0.43270555555555551</v>
      </c>
    </row>
    <row r="530" spans="4:15" x14ac:dyDescent="0.35">
      <c r="D530" s="11" t="s">
        <v>100</v>
      </c>
      <c r="E530">
        <v>4.5720714285714283</v>
      </c>
      <c r="F530">
        <v>3.2161428571428577E-2</v>
      </c>
      <c r="G530">
        <v>3.2879999999999998</v>
      </c>
      <c r="H530">
        <v>5.2539999999999996</v>
      </c>
      <c r="I530">
        <v>0.61057857142857141</v>
      </c>
      <c r="J530">
        <v>0.56300785714285717</v>
      </c>
      <c r="L530">
        <v>0.49725000000000008</v>
      </c>
      <c r="M530">
        <v>0.36168142857142854</v>
      </c>
      <c r="N530">
        <v>0.10371714285714285</v>
      </c>
      <c r="O530">
        <v>0.34235500000000008</v>
      </c>
    </row>
    <row r="531" spans="4:15" x14ac:dyDescent="0.35">
      <c r="D531" s="11" t="s">
        <v>91</v>
      </c>
      <c r="E531">
        <v>4.1704615384615371</v>
      </c>
      <c r="F531">
        <v>5.5298749999999994E-2</v>
      </c>
      <c r="G531">
        <v>2.7320000000000002</v>
      </c>
      <c r="H531">
        <v>5.7889999999999997</v>
      </c>
      <c r="I531">
        <v>0.42619397435897427</v>
      </c>
      <c r="J531">
        <v>0.70413217948717932</v>
      </c>
      <c r="L531">
        <v>0.26164641025641028</v>
      </c>
      <c r="M531">
        <v>0.34133179487179482</v>
      </c>
      <c r="N531">
        <v>0.12217320512820511</v>
      </c>
      <c r="O531">
        <v>0.22367576923076926</v>
      </c>
    </row>
    <row r="532" spans="4:15" x14ac:dyDescent="0.35">
      <c r="D532" s="11" t="s">
        <v>13</v>
      </c>
      <c r="E532">
        <v>6.6876428571428574</v>
      </c>
      <c r="F532">
        <v>3.7625238095238087E-2</v>
      </c>
      <c r="G532">
        <v>4.9349999999999996</v>
      </c>
      <c r="H532">
        <v>7.6689999999999996</v>
      </c>
      <c r="I532">
        <v>1.3578257142857144</v>
      </c>
      <c r="J532">
        <v>1.1448771428571429</v>
      </c>
      <c r="L532">
        <v>0.86745095238095193</v>
      </c>
      <c r="M532">
        <v>0.51375666666666664</v>
      </c>
      <c r="N532">
        <v>0.23200357142857136</v>
      </c>
      <c r="O532">
        <v>0.30341166666666669</v>
      </c>
    </row>
    <row r="533" spans="4:15" x14ac:dyDescent="0.35">
      <c r="D533" s="11" t="s">
        <v>317</v>
      </c>
      <c r="E533">
        <v>5.3790642401390913</v>
      </c>
      <c r="G533">
        <v>2.8648842692375198</v>
      </c>
      <c r="H533">
        <v>7.4795555379986798</v>
      </c>
      <c r="I533">
        <v>0.92698141606356232</v>
      </c>
      <c r="J533">
        <v>1.1888977504545641</v>
      </c>
      <c r="K533">
        <v>1.211025641025641</v>
      </c>
      <c r="L533">
        <v>0.62480047388631677</v>
      </c>
      <c r="M533">
        <v>0.41864202525278477</v>
      </c>
      <c r="N533">
        <v>0.11523097468019654</v>
      </c>
      <c r="O533">
        <v>0.20415404304190346</v>
      </c>
    </row>
    <row r="536" spans="4:15" x14ac:dyDescent="0.35">
      <c r="D536" s="2" t="s">
        <v>1</v>
      </c>
      <c r="E536" s="2" t="s">
        <v>318</v>
      </c>
      <c r="F536" s="2" t="s">
        <v>302</v>
      </c>
    </row>
    <row r="537" spans="4:15" x14ac:dyDescent="0.35">
      <c r="D537" t="s">
        <v>23</v>
      </c>
      <c r="E537">
        <v>4</v>
      </c>
      <c r="F537">
        <v>7.3042499999999997</v>
      </c>
    </row>
    <row r="538" spans="4:15" x14ac:dyDescent="0.35">
      <c r="D538" t="s">
        <v>18</v>
      </c>
      <c r="E538">
        <v>4</v>
      </c>
      <c r="F538">
        <v>7.2634999999999996</v>
      </c>
    </row>
    <row r="539" spans="4:15" x14ac:dyDescent="0.35">
      <c r="D539" t="s">
        <v>13</v>
      </c>
      <c r="E539">
        <v>42</v>
      </c>
      <c r="F539">
        <v>6.6876428571428574</v>
      </c>
    </row>
    <row r="540" spans="4:15" x14ac:dyDescent="0.35">
      <c r="D540" t="s">
        <v>28</v>
      </c>
      <c r="E540">
        <v>46</v>
      </c>
      <c r="F540">
        <v>6.1222826086956523</v>
      </c>
    </row>
    <row r="541" spans="4:15" x14ac:dyDescent="0.35">
      <c r="D541" t="s">
        <v>57</v>
      </c>
      <c r="E541">
        <v>12</v>
      </c>
      <c r="F541">
        <v>5.625166666666666</v>
      </c>
    </row>
    <row r="542" spans="4:15" x14ac:dyDescent="0.35">
      <c r="D542" t="s">
        <v>26</v>
      </c>
      <c r="E542">
        <v>39</v>
      </c>
      <c r="F542">
        <v>5.3967435897435871</v>
      </c>
    </row>
    <row r="543" spans="4:15" x14ac:dyDescent="0.35">
      <c r="D543" t="s">
        <v>49</v>
      </c>
      <c r="E543">
        <v>58</v>
      </c>
      <c r="F543">
        <v>5.3518103448275847</v>
      </c>
    </row>
    <row r="544" spans="4:15" x14ac:dyDescent="0.35">
      <c r="D544" t="s">
        <v>41</v>
      </c>
      <c r="E544">
        <v>18</v>
      </c>
      <c r="F544">
        <v>5.3281666666666672</v>
      </c>
    </row>
    <row r="545" spans="4:6" x14ac:dyDescent="0.35">
      <c r="D545" t="s">
        <v>100</v>
      </c>
      <c r="E545">
        <v>14</v>
      </c>
      <c r="F545">
        <v>4.5720714285714283</v>
      </c>
    </row>
    <row r="546" spans="4:6" x14ac:dyDescent="0.35">
      <c r="D546" t="s">
        <v>91</v>
      </c>
      <c r="E546">
        <v>78</v>
      </c>
      <c r="F546">
        <v>4.1704615384615371</v>
      </c>
    </row>
    <row r="570" spans="1:16" ht="26" x14ac:dyDescent="0.6">
      <c r="A570" s="7" t="s">
        <v>242</v>
      </c>
      <c r="B570" s="7" t="s">
        <v>242</v>
      </c>
      <c r="C570" s="8" t="s">
        <v>313</v>
      </c>
    </row>
    <row r="572" spans="1:16" x14ac:dyDescent="0.35">
      <c r="D572" s="10" t="s">
        <v>198</v>
      </c>
      <c r="E572" t="s">
        <v>316</v>
      </c>
      <c r="F572" t="s">
        <v>302</v>
      </c>
      <c r="G572" t="s">
        <v>303</v>
      </c>
      <c r="H572" t="s">
        <v>255</v>
      </c>
      <c r="I572" t="s">
        <v>259</v>
      </c>
      <c r="J572" t="s">
        <v>304</v>
      </c>
      <c r="K572" t="s">
        <v>305</v>
      </c>
      <c r="L572" t="s">
        <v>314</v>
      </c>
      <c r="M572" t="s">
        <v>307</v>
      </c>
      <c r="N572" t="s">
        <v>315</v>
      </c>
      <c r="O572" t="s">
        <v>275</v>
      </c>
      <c r="P572" t="s">
        <v>309</v>
      </c>
    </row>
    <row r="573" spans="1:16" x14ac:dyDescent="0.35">
      <c r="D573" s="11">
        <v>2015</v>
      </c>
      <c r="E573">
        <v>158</v>
      </c>
      <c r="F573">
        <v>5.3757341772151905</v>
      </c>
      <c r="G573">
        <v>4.7884746835443061E-2</v>
      </c>
      <c r="J573">
        <v>0.84613721518987262</v>
      </c>
      <c r="K573">
        <v>0.99104594936708867</v>
      </c>
      <c r="M573">
        <v>0.63025936708860786</v>
      </c>
      <c r="N573">
        <v>0.42861493670886108</v>
      </c>
      <c r="O573">
        <v>0.14342183544303794</v>
      </c>
      <c r="P573">
        <v>0.23729550632911403</v>
      </c>
    </row>
    <row r="574" spans="1:16" x14ac:dyDescent="0.35">
      <c r="D574" s="11">
        <v>2016</v>
      </c>
      <c r="E574">
        <v>157</v>
      </c>
      <c r="F574">
        <v>5.3821847133757954</v>
      </c>
      <c r="H574">
        <v>2.7320000000000002</v>
      </c>
      <c r="I574">
        <v>7.6689999999999996</v>
      </c>
      <c r="J574">
        <v>0.95387980891719726</v>
      </c>
      <c r="K574">
        <v>0.79362108280254817</v>
      </c>
      <c r="M574">
        <v>0.55761898089171946</v>
      </c>
      <c r="N574">
        <v>0.37099388535031841</v>
      </c>
      <c r="O574">
        <v>0.13762375796178344</v>
      </c>
      <c r="P574">
        <v>0.24263490445859875</v>
      </c>
    </row>
    <row r="575" spans="1:16" x14ac:dyDescent="0.35">
      <c r="D575" s="11">
        <v>2017</v>
      </c>
      <c r="E575">
        <v>155</v>
      </c>
      <c r="F575">
        <v>5.354019355773926</v>
      </c>
      <c r="H575">
        <v>2.8648842692375198</v>
      </c>
      <c r="I575">
        <v>7.4795555379986798</v>
      </c>
      <c r="J575">
        <v>0.9847182019463474</v>
      </c>
      <c r="K575">
        <v>1.1888977504545641</v>
      </c>
      <c r="M575">
        <v>0.55134078261232189</v>
      </c>
      <c r="N575">
        <v>0.40878597285838858</v>
      </c>
      <c r="O575">
        <v>0.12312022065142951</v>
      </c>
      <c r="P575">
        <v>0.24688347161657387</v>
      </c>
    </row>
    <row r="576" spans="1:16" x14ac:dyDescent="0.35">
      <c r="D576" s="11">
        <v>2018</v>
      </c>
      <c r="E576">
        <v>156</v>
      </c>
      <c r="F576">
        <v>5.3759166666666678</v>
      </c>
      <c r="J576">
        <v>0.89144871794871783</v>
      </c>
      <c r="L576">
        <v>1.2132371794871797</v>
      </c>
      <c r="M576">
        <v>0.59734615384615375</v>
      </c>
      <c r="N576">
        <v>0.4545064102564102</v>
      </c>
      <c r="O576">
        <v>0.11200000000000002</v>
      </c>
      <c r="P576">
        <v>0.18100641025641029</v>
      </c>
    </row>
    <row r="577" spans="4:16" x14ac:dyDescent="0.35">
      <c r="D577" s="11">
        <v>2019</v>
      </c>
      <c r="E577">
        <v>156</v>
      </c>
      <c r="F577">
        <v>5.4070961538461528</v>
      </c>
      <c r="J577">
        <v>0.90514743589743629</v>
      </c>
      <c r="L577">
        <v>1.2088141025641024</v>
      </c>
      <c r="M577">
        <v>0.72524358974358982</v>
      </c>
      <c r="N577">
        <v>0.39257051282051281</v>
      </c>
      <c r="O577">
        <v>0.11060256410256411</v>
      </c>
      <c r="P577">
        <v>0.18484615384615383</v>
      </c>
    </row>
    <row r="580" spans="4:16" x14ac:dyDescent="0.35">
      <c r="D580" s="2" t="s">
        <v>198</v>
      </c>
      <c r="E580" s="2" t="s">
        <v>316</v>
      </c>
      <c r="F580" s="2" t="s">
        <v>302</v>
      </c>
    </row>
    <row r="581" spans="4:16" x14ac:dyDescent="0.35">
      <c r="D581">
        <v>2015</v>
      </c>
      <c r="E581">
        <v>158</v>
      </c>
      <c r="F581">
        <v>5.3757341772151905</v>
      </c>
    </row>
    <row r="582" spans="4:16" x14ac:dyDescent="0.35">
      <c r="D582">
        <v>2016</v>
      </c>
      <c r="E582">
        <v>157</v>
      </c>
      <c r="F582">
        <v>5.3821847133757954</v>
      </c>
    </row>
    <row r="583" spans="4:16" x14ac:dyDescent="0.35">
      <c r="D583">
        <v>2017</v>
      </c>
      <c r="E583">
        <v>155</v>
      </c>
      <c r="F583">
        <v>5.354019355773926</v>
      </c>
    </row>
    <row r="584" spans="4:16" x14ac:dyDescent="0.35">
      <c r="D584">
        <v>2018</v>
      </c>
      <c r="E584">
        <v>156</v>
      </c>
      <c r="F584">
        <v>5.3759166666666678</v>
      </c>
    </row>
    <row r="585" spans="4:16" x14ac:dyDescent="0.35">
      <c r="D585">
        <v>2019</v>
      </c>
      <c r="E585">
        <v>156</v>
      </c>
      <c r="F585">
        <v>5.4070961538461528</v>
      </c>
    </row>
    <row r="620" spans="1:5" ht="26" x14ac:dyDescent="0.6">
      <c r="A620" s="7" t="s">
        <v>242</v>
      </c>
      <c r="B620" s="7" t="s">
        <v>242</v>
      </c>
      <c r="C620" s="8" t="s">
        <v>320</v>
      </c>
    </row>
    <row r="622" spans="1:5" x14ac:dyDescent="0.35">
      <c r="D622" s="2" t="s">
        <v>322</v>
      </c>
    </row>
    <row r="623" spans="1:5" x14ac:dyDescent="0.35">
      <c r="D623" t="s">
        <v>19</v>
      </c>
      <c r="E623">
        <v>7.7690000000000001</v>
      </c>
    </row>
    <row r="625" spans="1:5" x14ac:dyDescent="0.35">
      <c r="D625" s="2" t="s">
        <v>323</v>
      </c>
    </row>
    <row r="626" spans="1:5" x14ac:dyDescent="0.35">
      <c r="D626" t="s">
        <v>15</v>
      </c>
      <c r="E626">
        <v>7.5459999671936044</v>
      </c>
    </row>
    <row r="640" spans="1:5" ht="26" x14ac:dyDescent="0.6">
      <c r="A640" s="7" t="s">
        <v>242</v>
      </c>
      <c r="B640" s="7" t="s">
        <v>242</v>
      </c>
      <c r="C640" s="8" t="s">
        <v>324</v>
      </c>
    </row>
    <row r="642" spans="4:8" ht="18.5" x14ac:dyDescent="0.45">
      <c r="D642" s="6" t="s">
        <v>326</v>
      </c>
    </row>
    <row r="643" spans="4:8" x14ac:dyDescent="0.35">
      <c r="E643">
        <f>CORREL(Data[Economy (GDP per Capita)], Data[Happiness Score])</f>
        <v>0.78928399670850935</v>
      </c>
      <c r="F643" t="s">
        <v>325</v>
      </c>
    </row>
    <row r="646" spans="4:8" ht="18.5" x14ac:dyDescent="0.45">
      <c r="D646" s="6" t="s">
        <v>327</v>
      </c>
    </row>
    <row r="647" spans="4:8" x14ac:dyDescent="0.35">
      <c r="F647" s="2"/>
    </row>
    <row r="648" spans="4:8" x14ac:dyDescent="0.35">
      <c r="E648" s="2" t="s">
        <v>1</v>
      </c>
      <c r="F648" s="2" t="s">
        <v>318</v>
      </c>
      <c r="G648" s="2" t="s">
        <v>329</v>
      </c>
    </row>
    <row r="649" spans="4:8" x14ac:dyDescent="0.35">
      <c r="E649" t="s">
        <v>41</v>
      </c>
      <c r="F649">
        <v>18</v>
      </c>
      <c r="G649">
        <v>0.89570277164146017</v>
      </c>
      <c r="H649" s="14" t="s">
        <v>332</v>
      </c>
    </row>
    <row r="650" spans="4:8" x14ac:dyDescent="0.35">
      <c r="E650" t="s">
        <v>26</v>
      </c>
      <c r="F650">
        <v>39</v>
      </c>
      <c r="G650">
        <v>0.80137970895322141</v>
      </c>
      <c r="H650" s="14" t="s">
        <v>332</v>
      </c>
    </row>
    <row r="651" spans="4:8" x14ac:dyDescent="0.35">
      <c r="E651" t="s">
        <v>28</v>
      </c>
      <c r="F651">
        <v>46</v>
      </c>
      <c r="G651">
        <v>0.72141201626333729</v>
      </c>
      <c r="H651" s="14" t="s">
        <v>332</v>
      </c>
    </row>
    <row r="652" spans="4:8" x14ac:dyDescent="0.35">
      <c r="E652" t="s">
        <v>57</v>
      </c>
      <c r="F652">
        <v>12</v>
      </c>
      <c r="G652">
        <v>0.71437015661491732</v>
      </c>
      <c r="H652" s="14" t="s">
        <v>332</v>
      </c>
    </row>
    <row r="653" spans="4:8" x14ac:dyDescent="0.35">
      <c r="E653" t="s">
        <v>13</v>
      </c>
      <c r="F653">
        <v>42</v>
      </c>
      <c r="G653">
        <v>0.61362831889746361</v>
      </c>
      <c r="H653" s="14" t="s">
        <v>333</v>
      </c>
    </row>
    <row r="654" spans="4:8" x14ac:dyDescent="0.35">
      <c r="E654" t="s">
        <v>23</v>
      </c>
      <c r="F654">
        <v>4</v>
      </c>
      <c r="G654">
        <v>0.57589569494956749</v>
      </c>
      <c r="H654" s="14" t="s">
        <v>333</v>
      </c>
    </row>
    <row r="655" spans="4:8" x14ac:dyDescent="0.35">
      <c r="E655" t="s">
        <v>100</v>
      </c>
      <c r="F655">
        <v>14</v>
      </c>
      <c r="G655">
        <v>0.42690024043107094</v>
      </c>
      <c r="H655" s="14" t="s">
        <v>334</v>
      </c>
    </row>
    <row r="656" spans="4:8" x14ac:dyDescent="0.35">
      <c r="E656" t="s">
        <v>49</v>
      </c>
      <c r="F656">
        <v>58</v>
      </c>
      <c r="G656">
        <v>0.38664965344190794</v>
      </c>
      <c r="H656" s="14" t="s">
        <v>334</v>
      </c>
    </row>
    <row r="657" spans="4:8" x14ac:dyDescent="0.35">
      <c r="E657" t="s">
        <v>91</v>
      </c>
      <c r="F657">
        <v>78</v>
      </c>
      <c r="G657">
        <v>0.31679327173430588</v>
      </c>
      <c r="H657" s="14" t="s">
        <v>334</v>
      </c>
    </row>
    <row r="658" spans="4:8" x14ac:dyDescent="0.35">
      <c r="E658" t="s">
        <v>18</v>
      </c>
      <c r="F658">
        <v>4</v>
      </c>
      <c r="G658">
        <v>-0.56600397933967805</v>
      </c>
      <c r="H658" s="14" t="s">
        <v>335</v>
      </c>
    </row>
    <row r="665" spans="4:8" ht="18.5" x14ac:dyDescent="0.45">
      <c r="D665" s="6" t="s">
        <v>328</v>
      </c>
    </row>
    <row r="667" spans="4:8" x14ac:dyDescent="0.35">
      <c r="E667" s="2" t="s">
        <v>198</v>
      </c>
      <c r="F667" s="2" t="s">
        <v>316</v>
      </c>
      <c r="G667" s="2" t="s">
        <v>329</v>
      </c>
    </row>
    <row r="668" spans="4:8" x14ac:dyDescent="0.35">
      <c r="E668">
        <v>2015</v>
      </c>
      <c r="F668">
        <v>158</v>
      </c>
      <c r="G668">
        <v>0.7809655268660215</v>
      </c>
      <c r="H668" s="14" t="s">
        <v>332</v>
      </c>
    </row>
    <row r="669" spans="4:8" x14ac:dyDescent="0.35">
      <c r="E669">
        <v>2016</v>
      </c>
      <c r="F669">
        <v>157</v>
      </c>
      <c r="G669">
        <v>0.79032201672610625</v>
      </c>
      <c r="H669" s="14" t="s">
        <v>332</v>
      </c>
    </row>
    <row r="670" spans="4:8" x14ac:dyDescent="0.35">
      <c r="E670">
        <v>2017</v>
      </c>
      <c r="F670">
        <v>155</v>
      </c>
      <c r="G670">
        <v>0.81246875388664119</v>
      </c>
      <c r="H670" s="14" t="s">
        <v>332</v>
      </c>
    </row>
    <row r="671" spans="4:8" x14ac:dyDescent="0.35">
      <c r="E671">
        <v>2018</v>
      </c>
      <c r="F671">
        <v>156</v>
      </c>
      <c r="G671">
        <v>0.80212394673019038</v>
      </c>
      <c r="H671" s="14" t="s">
        <v>332</v>
      </c>
    </row>
    <row r="672" spans="4:8" x14ac:dyDescent="0.35">
      <c r="E672">
        <v>2019</v>
      </c>
      <c r="F672">
        <v>156</v>
      </c>
      <c r="G672">
        <v>0.7938828678781279</v>
      </c>
      <c r="H672" s="14" t="s">
        <v>332</v>
      </c>
    </row>
    <row r="690" spans="1:6" ht="26" x14ac:dyDescent="0.6">
      <c r="A690" s="7" t="s">
        <v>242</v>
      </c>
      <c r="B690" s="7" t="s">
        <v>242</v>
      </c>
      <c r="C690" s="8" t="s">
        <v>330</v>
      </c>
    </row>
    <row r="693" spans="1:6" x14ac:dyDescent="0.35">
      <c r="D693" s="2" t="s">
        <v>1</v>
      </c>
      <c r="E693" s="2" t="s">
        <v>321</v>
      </c>
      <c r="F693" s="2" t="s">
        <v>318</v>
      </c>
    </row>
    <row r="694" spans="1:6" x14ac:dyDescent="0.35">
      <c r="D694" s="12" t="s">
        <v>23</v>
      </c>
      <c r="E694" s="12">
        <v>7.3042499999999997</v>
      </c>
      <c r="F694">
        <v>4</v>
      </c>
    </row>
    <row r="695" spans="1:6" x14ac:dyDescent="0.35">
      <c r="D695" t="s">
        <v>18</v>
      </c>
      <c r="E695">
        <v>7.2634999999999996</v>
      </c>
      <c r="F695">
        <v>4</v>
      </c>
    </row>
    <row r="696" spans="1:6" x14ac:dyDescent="0.35">
      <c r="D696" t="s">
        <v>13</v>
      </c>
      <c r="E696">
        <v>6.6876428571428574</v>
      </c>
      <c r="F696">
        <v>42</v>
      </c>
    </row>
    <row r="697" spans="1:6" x14ac:dyDescent="0.35">
      <c r="D697" t="s">
        <v>28</v>
      </c>
      <c r="E697">
        <v>6.1222826086956523</v>
      </c>
      <c r="F697">
        <v>46</v>
      </c>
    </row>
    <row r="698" spans="1:6" x14ac:dyDescent="0.35">
      <c r="D698" t="s">
        <v>57</v>
      </c>
      <c r="E698">
        <v>5.625166666666666</v>
      </c>
      <c r="F698">
        <v>12</v>
      </c>
    </row>
    <row r="699" spans="1:6" x14ac:dyDescent="0.35">
      <c r="D699" t="s">
        <v>26</v>
      </c>
      <c r="E699">
        <v>5.3967435897435871</v>
      </c>
      <c r="F699">
        <v>39</v>
      </c>
    </row>
    <row r="700" spans="1:6" x14ac:dyDescent="0.35">
      <c r="D700" t="s">
        <v>49</v>
      </c>
      <c r="E700">
        <v>5.3518103448275847</v>
      </c>
      <c r="F700">
        <v>58</v>
      </c>
    </row>
    <row r="701" spans="1:6" x14ac:dyDescent="0.35">
      <c r="D701" t="s">
        <v>41</v>
      </c>
      <c r="E701">
        <v>5.3281666666666672</v>
      </c>
      <c r="F701">
        <v>18</v>
      </c>
    </row>
    <row r="702" spans="1:6" x14ac:dyDescent="0.35">
      <c r="D702" t="s">
        <v>100</v>
      </c>
      <c r="E702">
        <v>4.5720714285714283</v>
      </c>
      <c r="F702">
        <v>14</v>
      </c>
    </row>
    <row r="703" spans="1:6" x14ac:dyDescent="0.35">
      <c r="D703" t="s">
        <v>91</v>
      </c>
      <c r="E703">
        <v>4.1704615384615371</v>
      </c>
      <c r="F703">
        <v>78</v>
      </c>
    </row>
  </sheetData>
  <sortState xmlns:xlrd2="http://schemas.microsoft.com/office/spreadsheetml/2017/richdata2" ref="D694:E703">
    <sortCondition descending="1" ref="E695:E703"/>
  </sortState>
  <conditionalFormatting sqref="E6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4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49:G658">
    <cfRule type="colorScale" priority="1">
      <colorScale>
        <cfvo type="num" val="-1"/>
        <cfvo type="num" val="0"/>
        <cfvo type="num" val="1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68:G672">
    <cfRule type="colorScale" priority="2">
      <colorScale>
        <cfvo type="num" val="-1"/>
        <cfvo type="num" val="0"/>
        <cfvo type="num" val="1"/>
        <color rgb="FFF8696B"/>
        <color rgb="FFFFEB84"/>
        <color rgb="FF63BE7B"/>
      </colorScale>
    </cfRule>
    <cfRule type="colorScale" priority="3">
      <colorScale>
        <cfvo type="num" val="-1"/>
        <cfvo type="num" val="1"/>
        <color rgb="FFFF7128"/>
        <color rgb="FFFFEF9C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5"/>
  <tableParts count="2">
    <tablePart r:id="rId16"/>
    <tablePart r:id="rId1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E611-2FAB-4FA5-BB6F-644F86FCDA75}">
  <dimension ref="E3"/>
  <sheetViews>
    <sheetView tabSelected="1" topLeftCell="C13" zoomScale="70" zoomScaleNormal="70" workbookViewId="0">
      <selection activeCell="P20" sqref="P20"/>
    </sheetView>
  </sheetViews>
  <sheetFormatPr defaultRowHeight="14.5" x14ac:dyDescent="0.35"/>
  <cols>
    <col min="1" max="16384" width="8.6640625" style="13"/>
  </cols>
  <sheetData>
    <row r="3" spans="5:5" x14ac:dyDescent="0.35">
      <c r="E3" s="13" t="s">
        <v>331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 notes</vt:lpstr>
      <vt:lpstr>2015_orig</vt:lpstr>
      <vt:lpstr>2016_orig</vt:lpstr>
      <vt:lpstr>2017_orig</vt:lpstr>
      <vt:lpstr>2018_orig</vt:lpstr>
      <vt:lpstr>2019_orig</vt:lpstr>
      <vt:lpstr>all_data_new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Elijah Shepherd</cp:lastModifiedBy>
  <dcterms:created xsi:type="dcterms:W3CDTF">2025-05-28T19:09:05Z</dcterms:created>
  <dcterms:modified xsi:type="dcterms:W3CDTF">2026-03-11T19:34:43Z</dcterms:modified>
</cp:coreProperties>
</file>